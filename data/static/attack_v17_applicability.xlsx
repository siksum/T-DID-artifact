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Criteria" sheetId="2" state="visible" r:id="rId2"/>
    <sheet name="Summary" sheetId="3" state="visible" r:id="rId3"/>
    <sheet name="Entries" sheetId="4" state="visible" r:id="rId4"/>
    <sheet name="Techniques" sheetId="5" state="visible" r:id="rId5"/>
    <sheet name="Threat_links" sheetId="6" state="visible" r:id="rId6"/>
    <sheet name="Corrections" sheetId="7" state="visible" r:id="rId7"/>
    <sheet name="Inspection_notes" sheetId="8" state="visible" r:id="rId8"/>
  </sheets>
  <definedNames>
    <definedName name="_xlnm._FilterDatabase" localSheetId="3" hidden="1">'Entries'!$A$1:$L$741</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s>
  <fills count="3">
    <fill>
      <patternFill/>
    </fill>
    <fill>
      <patternFill patternType="gray125"/>
    </fill>
    <fill>
      <patternFill patternType="solid">
        <fgColor rgb="FF263B53"/>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center" wrapText="1"/>
    </xf>
    <xf numFmtId="0" fontId="5"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6" fillId="2" borderId="0" applyAlignment="1" pivotButton="0" quotePrefix="0" xfId="0">
      <alignment horizontal="general" vertical="center" wrapText="1"/>
    </xf>
    <xf numFmtId="0" fontId="6" fillId="2" borderId="0" applyAlignment="1" pivotButton="0" quotePrefix="0" xfId="0">
      <alignment horizontal="general" vertical="center" wrapText="1"/>
    </xf>
    <xf numFmtId="0" fontId="5"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63B53"/>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3B5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6" min="1" max="1"/>
    <col width="110" customWidth="1" style="6" min="2" max="2"/>
  </cols>
  <sheetData>
    <row r="1" ht="15" customHeight="1" s="7">
      <c r="A1" s="8" t="inlineStr">
        <is>
          <t>Title</t>
        </is>
      </c>
      <c r="B1" s="9" t="inlineStr">
        <is>
          <t>Preliminary applicability of MITRE ATT&amp;CK Enterprise v17 techniques to DID/VC systems</t>
        </is>
      </c>
    </row>
    <row r="2" ht="15" customHeight="1" s="7">
      <c r="A2" s="8" t="inlineStr">
        <is>
          <t>Accompanies</t>
        </is>
      </c>
      <c r="B2" s="9" t="inlineStr">
        <is>
          <t>T-DID manuscript, Supplementary Material S1 "ATT&amp;CK Applicability Analysis and Threat Correspondence" (Table S4). Public artifact: https://github.com/siksum/T-DID-artifact</t>
        </is>
      </c>
    </row>
    <row r="3" ht="35.05" customHeight="1" s="7">
      <c r="A3" s="8" t="inlineStr">
        <is>
          <t>Purpose</t>
        </is>
      </c>
      <c r="B3" s="9" t="inlineStr">
        <is>
          <t>Before deriving the 21-threat catalog, four of the authors examined every technique of the 14 tactics of ATT&amp;CK Enterprise v17 for its applicability to DID/VC systems. This workbook records the grade and rationale of every analyzed entry. The 21 threats of the catalog were derived from the DID/VC specifications and were not selected from this analysis.</t>
        </is>
      </c>
    </row>
    <row r="4" ht="23.85" customHeight="1" s="7">
      <c r="A4" s="8" t="inlineStr">
        <is>
          <t>Source framework</t>
        </is>
      </c>
      <c r="B4" s="9" t="inlineStr">
        <is>
          <t>MITRE ATT&amp;CK Enterprise v17 (enterprise-attack-17.0, STIX data published by MITRE). Technique and sub-technique names and URLs in this workbook are taken from that release. The final 21-threat correspondence (Supplementary Tables S3 and S4, data/static/attack_elements.csv) uses ATT&amp;CK Enterprise 19.2.</t>
        </is>
      </c>
    </row>
    <row r="5" ht="23.85" customHeight="1" s="7">
      <c r="A5" s="8" t="inlineStr">
        <is>
          <t>Grades</t>
        </is>
      </c>
      <c r="B5" s="9" t="inlineStr">
        <is>
          <t>Full: the attack operates unchanged in a DID/VC environment. Partial: it applies only after the scenario or setting is adapted to DID/VC objects and flows. No: it does not apply. These are the applicability labels of Supplementary Table S4; E, P, A, and None there grade the final threat correspondence instead. Full definitions and grading principles: Criteria sheet.</t>
        </is>
      </c>
    </row>
    <row r="6" ht="23.85" customHeight="1" s="7">
      <c r="A6" s="8" t="inlineStr">
        <is>
          <t>Unit of analysis</t>
        </is>
      </c>
      <c r="B6" s="9" t="inlineStr">
        <is>
          <t>One row of the Entries sheet is one analyzed entry: a sub-technique, or the technique itself when it has no sub-technique (Sub-technique ID empty). A few entries cover several sub-techniques jointly, as in the original analysis.</t>
        </is>
      </c>
    </row>
    <row r="7" ht="23.85" customHeight="1" s="7">
      <c r="A7" s="8" t="inlineStr">
        <is>
          <t>Technique grade</t>
        </is>
      </c>
      <c r="B7" s="9" t="inlineStr">
        <is>
          <t>Techniques sheet: a technique is Full if any of its entries in that tactic is Full; Partial if none is Full and at least one is Partial; No otherwise. A technique listed under several tactics is graded separately in each tactic.</t>
        </is>
      </c>
    </row>
    <row r="8" ht="15" customHeight="1" s="7">
      <c r="A8" s="8" t="inlineStr">
        <is>
          <t>Summary sheet</t>
        </is>
      </c>
      <c r="B8" s="9" t="inlineStr">
        <is>
          <t>Per-tactic counts of technique grades computed by formula from the Techniques sheet. Formulas are recalculated when the workbook is opened in a spreadsheet application.</t>
        </is>
      </c>
    </row>
    <row r="9" ht="23.85" customHeight="1" s="7">
      <c r="A9" s="8" t="inlineStr">
        <is>
          <t>Not graded</t>
        </is>
      </c>
      <c r="B9" s="9" t="inlineStr">
        <is>
          <t>T1112 (Modify Registry) is listed under Defense Evasion in v17 but has no entry in the Defense Evasion analysis; it was graded under Persistence. Defense Evasion therefore has 45 techniques, of which 44 were graded.</t>
        </is>
      </c>
    </row>
    <row r="10" ht="35.05" customHeight="1" s="7">
      <c r="A10" s="8" t="inlineStr">
        <is>
          <t>Translation</t>
        </is>
      </c>
      <c r="B10" s="9" t="inlineStr">
        <is>
          <t>The analysis was written in Korean. Rationale, commonalities, differences, and adaptation notes were translated into English without changing their content. Grades are those of the original analysis and were not changed. Some rationales refer to ledger-based DID methods (smart contracts, on-chain/off-chain data), which were within the scope of this preliminary analysis.</t>
        </is>
      </c>
    </row>
    <row r="11" ht="46.25" customHeight="1" s="7">
      <c r="A11" s="8" t="inlineStr">
        <is>
          <t>Editorial corrections</t>
        </is>
      </c>
      <c r="B11" s="9" t="inlineStr">
        <is>
          <t>Technique ID T1506 recorded for Input Capture under Credential Access was corrected to T1056. Misspelled technique and sub-technique names were replaced by the v17 names. Sub-technique names recorded under a different parent technique or under a former name were mapped to their v17 IDs (Corrections sheet). Names that do not correspond to a v17 sub-technique of the listed technique are kept as analyzed and marked in the Note column.</t>
        </is>
      </c>
    </row>
    <row r="12" ht="23.85" customHeight="1" s="7">
      <c r="A12" s="8" t="inlineStr">
        <is>
          <t>Inspection notes</t>
        </is>
      </c>
      <c r="B12" s="9" t="inlineStr">
        <is>
          <t>During translation, rationales of three techniques (seven entries) were found whose wording is in tension with the recorded grade, and three entries carry an unlabeled side annotation in the original sheet; all are listed in the Inspection_notes sheet. The grades are kept as recorded.</t>
        </is>
      </c>
    </row>
    <row r="13">
      <c r="A13" s="10" t="inlineStr">
        <is>
          <t>Original grades</t>
        </is>
      </c>
      <c r="B13" s="11" t="inlineStr">
        <is>
          <t>Grades follow the Korean analysis tabs of the original workbook, entry by entry (740 entries; 18 entries are matched through the Corrections sheet). The original workbook also contains English working tabs whose grade column differs from the Korean analysis in 123 of 714 comparable entries; those working tabs are not reproduced here.</t>
        </is>
      </c>
    </row>
    <row r="14">
      <c r="A14" s="10" t="inlineStr">
        <is>
          <t>Threat_links sheet</t>
        </is>
      </c>
      <c r="B14" s="11" t="inlineStr">
        <is>
          <t>For each of the 21 threats, the ATT&amp;CK technique group of this workbook that Supplementary Table S4 compares with, its applicability grade, the Entries rows, and the final correspondence grade.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6" customWidth="1" style="7" min="1" max="1"/>
    <col width="70" customWidth="1" style="7" min="2" max="2"/>
    <col width="90" customWidth="1" style="7" min="3" max="3"/>
  </cols>
  <sheetData>
    <row r="1">
      <c r="A1" s="12" t="inlineStr">
        <is>
          <t>Item</t>
        </is>
      </c>
      <c r="B1" s="12" t="inlineStr">
        <is>
          <t>Definition</t>
        </is>
      </c>
      <c r="C1" s="12" t="inlineStr">
        <is>
          <t>Conditions or rule</t>
        </is>
      </c>
    </row>
    <row r="2">
      <c r="A2" s="11" t="inlineStr">
        <is>
          <t>Full</t>
        </is>
      </c>
      <c r="B2" s="11" t="inlineStr">
        <is>
          <t>The ATT&amp;CK technique has an attack scenario that is structurally identical or directly applicable to a core component of a DID/VC authentication system (DID document, VC, VP, wallet, issuer, verifier, resolver, on-chain registry).</t>
        </is>
      </c>
      <c r="C2" s="11" t="inlineStr">
        <is>
          <t>(1) The target directly includes DID/VC-specific assets (private keys, VCs, DID documents, signatures, verification logic). (2) The preconditions of the technique are met by default in a DID/VC operating environment (no additional assumption). (3) A threat scenario structurally equivalent (isomorphic) to the technique is confirmed in the literature or empirically in DID/VC systems.</t>
        </is>
      </c>
    </row>
    <row r="3">
      <c r="A3" s="11" t="inlineStr">
        <is>
          <t>Partial</t>
        </is>
      </c>
      <c r="B3" s="11" t="inlineStr">
        <is>
          <t>The technique applies indirectly to the infrastructure layer (cloud, container, server, network) or to off-chain components of a DID/VC system, and the threat holds only under a specific deployment environment or implementation.</t>
        </is>
      </c>
      <c r="C3" s="11" t="inlineStr">
        <is>
          <t>(1) The target is general-purpose infrastructure (OS, cloud, container, network) rather than a DID/VC-specific asset, but an indirect threat arises when that infrastructure runs DID/VC services. (2) A deployment condition such as container-based deployment, a cloud environment, or a specific OS must be assumed for the threat to hold. (3) The outcome can affect the DID/VC authentication flow (issuance, presentation, verification), but the effect is not DID-specific and applies equally to general IT systems.</t>
        </is>
      </c>
    </row>
    <row r="4">
      <c r="A4" s="11" t="inlineStr">
        <is>
          <t>No</t>
        </is>
      </c>
      <c r="B4" s="11" t="inlineStr">
        <is>
          <t>The technique does not form a meaningful threat scenario at any layer of a DID/VC system (core protocol, infrastructure, off-chain), or its preconditions do not hold in a DID/VC operating environment.</t>
        </is>
      </c>
      <c r="C4" s="11" t="inlineStr">
        <is>
          <t>(1) The preconditions (specific OS, protocol, hardware) are structurally not met in DID/VC systems. (2) Applying the technique to a DID/VC system has no meaningful effect on the authentication flow, data integrity, or availability. (3) Linking the technique to DID/VC requires three or more assumptions (e.g., Windows desktop + installed DID wallet + registry use), so the realistic threat level is very low.</t>
        </is>
      </c>
    </row>
    <row r="5">
      <c r="A5" s="11" t="inlineStr">
        <is>
          <t>Principle 1: infrastructure generality</t>
        </is>
      </c>
      <c r="B5" s="11" t="inlineStr"/>
      <c r="C5" s="11" t="inlineStr">
        <is>
          <t>Attacks on general-purpose infrastructure such as containers and operating systems are not threats unique to DID systems, so Partial is the upper bound. Full is assigned only when the technique maps directly to the DID/VC protocol layer.</t>
        </is>
      </c>
    </row>
    <row r="6">
      <c r="A6" s="11" t="inlineStr">
        <is>
          <t>Principle 2: consistency across tactics</t>
        </is>
      </c>
      <c r="B6" s="11" t="inlineStr"/>
      <c r="C6" s="11" t="inlineStr">
        <is>
          <t>When a technique ID appears in several tactics and the technical basis is the same, the grade must be the same. Contradictory grades are not given on the same basis even when the tactic context (purpose) differs.</t>
        </is>
      </c>
    </row>
    <row r="7">
      <c r="A7" s="11" t="inlineStr">
        <is>
          <t>Principle 3: three-layer analysis</t>
        </is>
      </c>
      <c r="B7" s="11" t="inlineStr"/>
      <c r="C7" s="11" t="inlineStr">
        <is>
          <t>A DID system is analyzed in three layers: (1) protocol layer (DID document, VC/VP, signature and verification logic, W3C standards), (2) application layer (wallet, agent, issuer and verifier servers), (3) infrastructure layer (cloud, container, OS, network). A protocol-layer threat is Full, an application-layer threat is Partial to Full, and an infrastructure-layer threat is Partial or lower.</t>
        </is>
      </c>
    </row>
    <row r="8">
      <c r="A8" s="11" t="inlineStr">
        <is>
          <t>Principle 4: conservative grading</t>
        </is>
      </c>
      <c r="B8" s="11" t="inlineStr"/>
      <c r="C8" s="11" t="inlineStr">
        <is>
          <t>If the rationale rates at least one component as high, the minimum condition of that grade is met. If the high rating applies only to the infrastructure layer, the grade cannot exceed Partial.</t>
        </is>
      </c>
    </row>
    <row r="9">
      <c r="A9" s="11" t="inlineStr">
        <is>
          <t>Source</t>
        </is>
      </c>
      <c r="B9" s="11" t="inlineStr">
        <is>
          <t>Overview sheet of the original Korean workbook, section "DID relevance criteria".</t>
        </is>
      </c>
      <c r="C9" s="11" t="inlineStr">
        <is>
          <t>Translated into English without changing content. The original workbook does not record whether these criteria were written before or after the tactic analyses; grades in the Entries sheet are those recorded by the analysts.</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6" min="1" max="1"/>
    <col width="16" customWidth="1" style="6" min="2" max="2"/>
    <col width="10" customWidth="1" style="6" min="3" max="3"/>
    <col width="8" customWidth="1" style="6" min="4" max="4"/>
    <col width="9" customWidth="1" style="6" min="5" max="5"/>
    <col width="8" customWidth="1" style="6" min="6" max="6"/>
  </cols>
  <sheetData>
    <row r="1" ht="15" customHeight="1" s="7">
      <c r="A1" s="13" t="inlineStr">
        <is>
          <t>Tactic</t>
        </is>
      </c>
      <c r="B1" s="13" t="inlineStr">
        <is>
          <t>Techniques (v17)</t>
        </is>
      </c>
      <c r="C1" s="13" t="inlineStr">
        <is>
          <t>Graded</t>
        </is>
      </c>
      <c r="D1" s="13" t="inlineStr">
        <is>
          <t>Full</t>
        </is>
      </c>
      <c r="E1" s="13" t="inlineStr">
        <is>
          <t>Partial</t>
        </is>
      </c>
      <c r="F1" s="13" t="inlineStr">
        <is>
          <t>No</t>
        </is>
      </c>
    </row>
    <row r="2" ht="15" customHeight="1" s="7">
      <c r="A2" s="14" t="inlineStr">
        <is>
          <t>Reconnaissance</t>
        </is>
      </c>
      <c r="B2" s="14">
        <f>COUNTIF(Techniques!$A$2:$A$246,A2)</f>
        <v/>
      </c>
      <c r="C2" s="14">
        <f>B2-COUNTIFS(Techniques!$A$2:$A$246,A2,Techniques!$H$2:$H$246,"Not graded")</f>
        <v/>
      </c>
      <c r="D2" s="14">
        <f>COUNTIFS(Techniques!$A$2:$A$246,A2,Techniques!$H$2:$H$246,"Full")</f>
        <v/>
      </c>
      <c r="E2" s="14">
        <f>COUNTIFS(Techniques!$A$2:$A$246,A2,Techniques!$H$2:$H$246,"Partial")</f>
        <v/>
      </c>
      <c r="F2" s="14">
        <f>COUNTIFS(Techniques!$A$2:$A$246,A2,Techniques!$H$2:$H$246,"No")</f>
        <v/>
      </c>
    </row>
    <row r="3" ht="15" customHeight="1" s="7">
      <c r="A3" s="14" t="inlineStr">
        <is>
          <t>Resource Development</t>
        </is>
      </c>
      <c r="B3" s="14">
        <f>COUNTIF(Techniques!$A$2:$A$246,A3)</f>
        <v/>
      </c>
      <c r="C3" s="14">
        <f>B3-COUNTIFS(Techniques!$A$2:$A$246,A3,Techniques!$H$2:$H$246,"Not graded")</f>
        <v/>
      </c>
      <c r="D3" s="14">
        <f>COUNTIFS(Techniques!$A$2:$A$246,A3,Techniques!$H$2:$H$246,"Full")</f>
        <v/>
      </c>
      <c r="E3" s="14">
        <f>COUNTIFS(Techniques!$A$2:$A$246,A3,Techniques!$H$2:$H$246,"Partial")</f>
        <v/>
      </c>
      <c r="F3" s="14">
        <f>COUNTIFS(Techniques!$A$2:$A$246,A3,Techniques!$H$2:$H$246,"No")</f>
        <v/>
      </c>
    </row>
    <row r="4" ht="15" customHeight="1" s="7">
      <c r="A4" s="14" t="inlineStr">
        <is>
          <t>Initial Access</t>
        </is>
      </c>
      <c r="B4" s="14">
        <f>COUNTIF(Techniques!$A$2:$A$246,A4)</f>
        <v/>
      </c>
      <c r="C4" s="14">
        <f>B4-COUNTIFS(Techniques!$A$2:$A$246,A4,Techniques!$H$2:$H$246,"Not graded")</f>
        <v/>
      </c>
      <c r="D4" s="14">
        <f>COUNTIFS(Techniques!$A$2:$A$246,A4,Techniques!$H$2:$H$246,"Full")</f>
        <v/>
      </c>
      <c r="E4" s="14">
        <f>COUNTIFS(Techniques!$A$2:$A$246,A4,Techniques!$H$2:$H$246,"Partial")</f>
        <v/>
      </c>
      <c r="F4" s="14">
        <f>COUNTIFS(Techniques!$A$2:$A$246,A4,Techniques!$H$2:$H$246,"No")</f>
        <v/>
      </c>
    </row>
    <row r="5" ht="15" customHeight="1" s="7">
      <c r="A5" s="14" t="inlineStr">
        <is>
          <t>Execution</t>
        </is>
      </c>
      <c r="B5" s="14">
        <f>COUNTIF(Techniques!$A$2:$A$246,A5)</f>
        <v/>
      </c>
      <c r="C5" s="14">
        <f>B5-COUNTIFS(Techniques!$A$2:$A$246,A5,Techniques!$H$2:$H$246,"Not graded")</f>
        <v/>
      </c>
      <c r="D5" s="14">
        <f>COUNTIFS(Techniques!$A$2:$A$246,A5,Techniques!$H$2:$H$246,"Full")</f>
        <v/>
      </c>
      <c r="E5" s="14">
        <f>COUNTIFS(Techniques!$A$2:$A$246,A5,Techniques!$H$2:$H$246,"Partial")</f>
        <v/>
      </c>
      <c r="F5" s="14">
        <f>COUNTIFS(Techniques!$A$2:$A$246,A5,Techniques!$H$2:$H$246,"No")</f>
        <v/>
      </c>
    </row>
    <row r="6" ht="15" customHeight="1" s="7">
      <c r="A6" s="14" t="inlineStr">
        <is>
          <t>Persistence</t>
        </is>
      </c>
      <c r="B6" s="14">
        <f>COUNTIF(Techniques!$A$2:$A$246,A6)</f>
        <v/>
      </c>
      <c r="C6" s="14">
        <f>B6-COUNTIFS(Techniques!$A$2:$A$246,A6,Techniques!$H$2:$H$246,"Not graded")</f>
        <v/>
      </c>
      <c r="D6" s="14">
        <f>COUNTIFS(Techniques!$A$2:$A$246,A6,Techniques!$H$2:$H$246,"Full")</f>
        <v/>
      </c>
      <c r="E6" s="14">
        <f>COUNTIFS(Techniques!$A$2:$A$246,A6,Techniques!$H$2:$H$246,"Partial")</f>
        <v/>
      </c>
      <c r="F6" s="14">
        <f>COUNTIFS(Techniques!$A$2:$A$246,A6,Techniques!$H$2:$H$246,"No")</f>
        <v/>
      </c>
    </row>
    <row r="7" ht="15" customHeight="1" s="7">
      <c r="A7" s="14" t="inlineStr">
        <is>
          <t>Privilege Escalation</t>
        </is>
      </c>
      <c r="B7" s="14">
        <f>COUNTIF(Techniques!$A$2:$A$246,A7)</f>
        <v/>
      </c>
      <c r="C7" s="14">
        <f>B7-COUNTIFS(Techniques!$A$2:$A$246,A7,Techniques!$H$2:$H$246,"Not graded")</f>
        <v/>
      </c>
      <c r="D7" s="14">
        <f>COUNTIFS(Techniques!$A$2:$A$246,A7,Techniques!$H$2:$H$246,"Full")</f>
        <v/>
      </c>
      <c r="E7" s="14">
        <f>COUNTIFS(Techniques!$A$2:$A$246,A7,Techniques!$H$2:$H$246,"Partial")</f>
        <v/>
      </c>
      <c r="F7" s="14">
        <f>COUNTIFS(Techniques!$A$2:$A$246,A7,Techniques!$H$2:$H$246,"No")</f>
        <v/>
      </c>
    </row>
    <row r="8" ht="15" customHeight="1" s="7">
      <c r="A8" s="14" t="inlineStr">
        <is>
          <t>Credential Access</t>
        </is>
      </c>
      <c r="B8" s="14">
        <f>COUNTIF(Techniques!$A$2:$A$246,A8)</f>
        <v/>
      </c>
      <c r="C8" s="14">
        <f>B8-COUNTIFS(Techniques!$A$2:$A$246,A8,Techniques!$H$2:$H$246,"Not graded")</f>
        <v/>
      </c>
      <c r="D8" s="14">
        <f>COUNTIFS(Techniques!$A$2:$A$246,A8,Techniques!$H$2:$H$246,"Full")</f>
        <v/>
      </c>
      <c r="E8" s="14">
        <f>COUNTIFS(Techniques!$A$2:$A$246,A8,Techniques!$H$2:$H$246,"Partial")</f>
        <v/>
      </c>
      <c r="F8" s="14">
        <f>COUNTIFS(Techniques!$A$2:$A$246,A8,Techniques!$H$2:$H$246,"No")</f>
        <v/>
      </c>
    </row>
    <row r="9" ht="15" customHeight="1" s="7">
      <c r="A9" s="14" t="inlineStr">
        <is>
          <t>Defense Evasion</t>
        </is>
      </c>
      <c r="B9" s="14">
        <f>COUNTIF(Techniques!$A$2:$A$246,A9)</f>
        <v/>
      </c>
      <c r="C9" s="14">
        <f>B9-COUNTIFS(Techniques!$A$2:$A$246,A9,Techniques!$H$2:$H$246,"Not graded")</f>
        <v/>
      </c>
      <c r="D9" s="14">
        <f>COUNTIFS(Techniques!$A$2:$A$246,A9,Techniques!$H$2:$H$246,"Full")</f>
        <v/>
      </c>
      <c r="E9" s="14">
        <f>COUNTIFS(Techniques!$A$2:$A$246,A9,Techniques!$H$2:$H$246,"Partial")</f>
        <v/>
      </c>
      <c r="F9" s="14">
        <f>COUNTIFS(Techniques!$A$2:$A$246,A9,Techniques!$H$2:$H$246,"No")</f>
        <v/>
      </c>
    </row>
    <row r="10" ht="15" customHeight="1" s="7">
      <c r="A10" s="14" t="inlineStr">
        <is>
          <t>Impact</t>
        </is>
      </c>
      <c r="B10" s="14">
        <f>COUNTIF(Techniques!$A$2:$A$246,A10)</f>
        <v/>
      </c>
      <c r="C10" s="14">
        <f>B10-COUNTIFS(Techniques!$A$2:$A$246,A10,Techniques!$H$2:$H$246,"Not graded")</f>
        <v/>
      </c>
      <c r="D10" s="14">
        <f>COUNTIFS(Techniques!$A$2:$A$246,A10,Techniques!$H$2:$H$246,"Full")</f>
        <v/>
      </c>
      <c r="E10" s="14">
        <f>COUNTIFS(Techniques!$A$2:$A$246,A10,Techniques!$H$2:$H$246,"Partial")</f>
        <v/>
      </c>
      <c r="F10" s="14">
        <f>COUNTIFS(Techniques!$A$2:$A$246,A10,Techniques!$H$2:$H$246,"No")</f>
        <v/>
      </c>
    </row>
    <row r="11" ht="15" customHeight="1" s="7">
      <c r="A11" s="14" t="inlineStr">
        <is>
          <t>Discovery</t>
        </is>
      </c>
      <c r="B11" s="14">
        <f>COUNTIF(Techniques!$A$2:$A$246,A11)</f>
        <v/>
      </c>
      <c r="C11" s="14">
        <f>B11-COUNTIFS(Techniques!$A$2:$A$246,A11,Techniques!$H$2:$H$246,"Not graded")</f>
        <v/>
      </c>
      <c r="D11" s="14">
        <f>COUNTIFS(Techniques!$A$2:$A$246,A11,Techniques!$H$2:$H$246,"Full")</f>
        <v/>
      </c>
      <c r="E11" s="14">
        <f>COUNTIFS(Techniques!$A$2:$A$246,A11,Techniques!$H$2:$H$246,"Partial")</f>
        <v/>
      </c>
      <c r="F11" s="14">
        <f>COUNTIFS(Techniques!$A$2:$A$246,A11,Techniques!$H$2:$H$246,"No")</f>
        <v/>
      </c>
    </row>
    <row r="12" ht="15" customHeight="1" s="7">
      <c r="A12" s="14" t="inlineStr">
        <is>
          <t>Lateral Movement</t>
        </is>
      </c>
      <c r="B12" s="14">
        <f>COUNTIF(Techniques!$A$2:$A$246,A12)</f>
        <v/>
      </c>
      <c r="C12" s="14">
        <f>B12-COUNTIFS(Techniques!$A$2:$A$246,A12,Techniques!$H$2:$H$246,"Not graded")</f>
        <v/>
      </c>
      <c r="D12" s="14">
        <f>COUNTIFS(Techniques!$A$2:$A$246,A12,Techniques!$H$2:$H$246,"Full")</f>
        <v/>
      </c>
      <c r="E12" s="14">
        <f>COUNTIFS(Techniques!$A$2:$A$246,A12,Techniques!$H$2:$H$246,"Partial")</f>
        <v/>
      </c>
      <c r="F12" s="14">
        <f>COUNTIFS(Techniques!$A$2:$A$246,A12,Techniques!$H$2:$H$246,"No")</f>
        <v/>
      </c>
    </row>
    <row r="13" ht="15" customHeight="1" s="7">
      <c r="A13" s="14" t="inlineStr">
        <is>
          <t>Collection</t>
        </is>
      </c>
      <c r="B13" s="14">
        <f>COUNTIF(Techniques!$A$2:$A$246,A13)</f>
        <v/>
      </c>
      <c r="C13" s="14">
        <f>B13-COUNTIFS(Techniques!$A$2:$A$246,A13,Techniques!$H$2:$H$246,"Not graded")</f>
        <v/>
      </c>
      <c r="D13" s="14">
        <f>COUNTIFS(Techniques!$A$2:$A$246,A13,Techniques!$H$2:$H$246,"Full")</f>
        <v/>
      </c>
      <c r="E13" s="14">
        <f>COUNTIFS(Techniques!$A$2:$A$246,A13,Techniques!$H$2:$H$246,"Partial")</f>
        <v/>
      </c>
      <c r="F13" s="14">
        <f>COUNTIFS(Techniques!$A$2:$A$246,A13,Techniques!$H$2:$H$246,"No")</f>
        <v/>
      </c>
    </row>
    <row r="14" ht="15" customHeight="1" s="7">
      <c r="A14" s="14" t="inlineStr">
        <is>
          <t>Command and Control</t>
        </is>
      </c>
      <c r="B14" s="14">
        <f>COUNTIF(Techniques!$A$2:$A$246,A14)</f>
        <v/>
      </c>
      <c r="C14" s="14">
        <f>B14-COUNTIFS(Techniques!$A$2:$A$246,A14,Techniques!$H$2:$H$246,"Not graded")</f>
        <v/>
      </c>
      <c r="D14" s="14">
        <f>COUNTIFS(Techniques!$A$2:$A$246,A14,Techniques!$H$2:$H$246,"Full")</f>
        <v/>
      </c>
      <c r="E14" s="14">
        <f>COUNTIFS(Techniques!$A$2:$A$246,A14,Techniques!$H$2:$H$246,"Partial")</f>
        <v/>
      </c>
      <c r="F14" s="14">
        <f>COUNTIFS(Techniques!$A$2:$A$246,A14,Techniques!$H$2:$H$246,"No")</f>
        <v/>
      </c>
    </row>
    <row r="15" ht="15" customHeight="1" s="7">
      <c r="A15" s="14" t="inlineStr">
        <is>
          <t>Exfiltration</t>
        </is>
      </c>
      <c r="B15" s="14">
        <f>COUNTIF(Techniques!$A$2:$A$246,A15)</f>
        <v/>
      </c>
      <c r="C15" s="14">
        <f>B15-COUNTIFS(Techniques!$A$2:$A$246,A15,Techniques!$H$2:$H$246,"Not graded")</f>
        <v/>
      </c>
      <c r="D15" s="14">
        <f>COUNTIFS(Techniques!$A$2:$A$246,A15,Techniques!$H$2:$H$246,"Full")</f>
        <v/>
      </c>
      <c r="E15" s="14">
        <f>COUNTIFS(Techniques!$A$2:$A$246,A15,Techniques!$H$2:$H$246,"Partial")</f>
        <v/>
      </c>
      <c r="F15" s="14">
        <f>COUNTIFS(Techniques!$A$2:$A$246,A15,Techniques!$H$2:$H$246,"No")</f>
        <v/>
      </c>
    </row>
    <row r="16" ht="15" customHeight="1" s="7">
      <c r="A16" s="15" t="inlineStr">
        <is>
          <t>Total</t>
        </is>
      </c>
      <c r="B16" s="15">
        <f>SUM(B2:B15)</f>
        <v/>
      </c>
      <c r="C16" s="15">
        <f>SUM(C2:C15)</f>
        <v/>
      </c>
      <c r="D16" s="15">
        <f>SUM(D2:D15)</f>
        <v/>
      </c>
      <c r="E16" s="15">
        <f>SUM(E2:E15)</f>
        <v/>
      </c>
      <c r="F16" s="15">
        <f>SUM(F2:F15)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7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6" min="1" max="1"/>
    <col width="11" customWidth="1" style="6" min="2" max="2"/>
    <col width="28" customWidth="1" style="6" min="3" max="3"/>
    <col width="14" customWidth="1" style="6" min="4" max="4"/>
    <col width="30" customWidth="1" style="6" min="5" max="5"/>
    <col width="9" customWidth="1" style="6" min="6" max="6"/>
    <col width="60" customWidth="1" style="6" min="7" max="7"/>
    <col width="40" customWidth="1" style="6" min="8" max="10"/>
    <col width="30" customWidth="1" style="6" min="11" max="11"/>
    <col width="38" customWidth="1" style="6" min="12" max="12"/>
  </cols>
  <sheetData>
    <row r="1" ht="35.05" customHeight="1" s="7">
      <c r="A1" s="13" t="inlineStr">
        <is>
          <t>Tactic</t>
        </is>
      </c>
      <c r="B1" s="13" t="inlineStr">
        <is>
          <t>Technique ID</t>
        </is>
      </c>
      <c r="C1" s="13" t="inlineStr">
        <is>
          <t>Technique</t>
        </is>
      </c>
      <c r="D1" s="13" t="inlineStr">
        <is>
          <t>Sub-technique ID</t>
        </is>
      </c>
      <c r="E1" s="13" t="inlineStr">
        <is>
          <t>Sub-technique</t>
        </is>
      </c>
      <c r="F1" s="13" t="inlineStr">
        <is>
          <t>Grade</t>
        </is>
      </c>
      <c r="G1" s="13" t="inlineStr">
        <is>
          <t>Basis for grade</t>
        </is>
      </c>
      <c r="H1" s="13" t="inlineStr">
        <is>
          <t>Commonalities</t>
        </is>
      </c>
      <c r="I1" s="13" t="inlineStr">
        <is>
          <t>Differences</t>
        </is>
      </c>
      <c r="J1" s="13" t="inlineStr">
        <is>
          <t>Adaptation or considerations</t>
        </is>
      </c>
      <c r="K1" s="13" t="inlineStr">
        <is>
          <t>Note</t>
        </is>
      </c>
      <c r="L1" s="13" t="inlineStr">
        <is>
          <t>ATT&amp;CK URL</t>
        </is>
      </c>
    </row>
    <row r="2" ht="23.85" customHeight="1" s="7">
      <c r="A2" s="16" t="inlineStr">
        <is>
          <t>Reconnaissance</t>
        </is>
      </c>
      <c r="B2" s="16" t="inlineStr">
        <is>
          <t>T1595</t>
        </is>
      </c>
      <c r="C2" s="16" t="inlineStr">
        <is>
          <t>Active Scanning</t>
        </is>
      </c>
      <c r="D2" s="16" t="inlineStr">
        <is>
          <t>T1595.001</t>
        </is>
      </c>
      <c r="E2" s="16" t="inlineStr">
        <is>
          <t>Scanning IP Blocks</t>
        </is>
      </c>
      <c r="F2" s="16" t="inlineStr">
        <is>
          <t>Partial</t>
        </is>
      </c>
      <c r="G2" s="16" t="inlineStr">
        <is>
          <t>Direct probing is not possible, but monitoring is possible using the results of off-chain scanning.</t>
        </is>
      </c>
      <c r="H2" s="16" t="n"/>
      <c r="I2" s="16" t="n"/>
      <c r="J2" s="16" t="n"/>
      <c r="K2" s="16" t="n"/>
      <c r="L2" s="16" t="inlineStr">
        <is>
          <t>https://attack.mitre.org/techniques/T1595</t>
        </is>
      </c>
    </row>
    <row r="3" ht="23.85" customHeight="1" s="7">
      <c r="A3" s="16" t="inlineStr">
        <is>
          <t>Reconnaissance</t>
        </is>
      </c>
      <c r="B3" s="16" t="inlineStr">
        <is>
          <t>T1595</t>
        </is>
      </c>
      <c r="C3" s="16" t="inlineStr">
        <is>
          <t>Active Scanning</t>
        </is>
      </c>
      <c r="D3" s="16" t="inlineStr">
        <is>
          <t>T1595.002</t>
        </is>
      </c>
      <c r="E3" s="16" t="inlineStr">
        <is>
          <t>Vulnerability Scanning</t>
        </is>
      </c>
      <c r="F3" s="16" t="inlineStr">
        <is>
          <t>Partial</t>
        </is>
      </c>
      <c r="G3" s="16" t="inlineStr">
        <is>
          <t>Direct probing is not possible, but monitoring is possible using the results of off-chain scanning.</t>
        </is>
      </c>
      <c r="H3" s="16" t="n"/>
      <c r="I3" s="16" t="n"/>
      <c r="J3" s="16" t="n"/>
      <c r="K3" s="16" t="n"/>
      <c r="L3" s="16" t="inlineStr">
        <is>
          <t>https://attack.mitre.org/techniques/T1595</t>
        </is>
      </c>
    </row>
    <row r="4" ht="23.85" customHeight="1" s="7">
      <c r="A4" s="16" t="inlineStr">
        <is>
          <t>Reconnaissance</t>
        </is>
      </c>
      <c r="B4" s="16" t="inlineStr">
        <is>
          <t>T1595</t>
        </is>
      </c>
      <c r="C4" s="16" t="inlineStr">
        <is>
          <t>Active Scanning</t>
        </is>
      </c>
      <c r="D4" s="16" t="inlineStr">
        <is>
          <t>T1595.003</t>
        </is>
      </c>
      <c r="E4" s="16" t="inlineStr">
        <is>
          <t>Wordlist Scanning</t>
        </is>
      </c>
      <c r="F4" s="16" t="inlineStr">
        <is>
          <t>Partial</t>
        </is>
      </c>
      <c r="G4" s="16" t="inlineStr">
        <is>
          <t>Public metadata of smart contracts, such as function names and event names, can be queried.</t>
        </is>
      </c>
      <c r="H4" s="16" t="n"/>
      <c r="I4" s="16" t="n"/>
      <c r="J4" s="16" t="n"/>
      <c r="K4" s="16" t="n"/>
      <c r="L4" s="16" t="inlineStr">
        <is>
          <t>https://attack.mitre.org/techniques/T1595</t>
        </is>
      </c>
    </row>
    <row r="5" ht="15" customHeight="1" s="7">
      <c r="A5" s="16" t="inlineStr">
        <is>
          <t>Reconnaissance</t>
        </is>
      </c>
      <c r="B5" s="16" t="inlineStr">
        <is>
          <t>T1592</t>
        </is>
      </c>
      <c r="C5" s="16" t="inlineStr">
        <is>
          <t>Gather Victim Host Information</t>
        </is>
      </c>
      <c r="D5" s="16" t="inlineStr">
        <is>
          <t>T1592.001</t>
        </is>
      </c>
      <c r="E5" s="16" t="inlineStr">
        <is>
          <t>Hardware</t>
        </is>
      </c>
      <c r="F5" s="16" t="inlineStr">
        <is>
          <t>No</t>
        </is>
      </c>
      <c r="G5" s="16" t="inlineStr">
        <is>
          <t>-</t>
        </is>
      </c>
      <c r="H5" s="16" t="n"/>
      <c r="I5" s="16" t="n"/>
      <c r="J5" s="16" t="n"/>
      <c r="K5" s="16" t="n"/>
      <c r="L5" s="16" t="inlineStr">
        <is>
          <t>https://attack.mitre.org/techniques/T1592</t>
        </is>
      </c>
    </row>
    <row r="6" ht="23.85" customHeight="1" s="7">
      <c r="A6" s="16" t="inlineStr">
        <is>
          <t>Reconnaissance</t>
        </is>
      </c>
      <c r="B6" s="16" t="inlineStr">
        <is>
          <t>T1592</t>
        </is>
      </c>
      <c r="C6" s="16" t="inlineStr">
        <is>
          <t>Gather Victim Host Information</t>
        </is>
      </c>
      <c r="D6" s="16" t="inlineStr">
        <is>
          <t>T1592.002</t>
        </is>
      </c>
      <c r="E6" s="16" t="inlineStr">
        <is>
          <t>Software</t>
        </is>
      </c>
      <c r="F6" s="16" t="inlineStr">
        <is>
          <t>Partial</t>
        </is>
      </c>
      <c r="G6" s="16" t="inlineStr">
        <is>
          <t>This is not recorded on-chain, but it can be inferred indirectly from smart contract function-call logs and event-emission patterns.</t>
        </is>
      </c>
      <c r="H6" s="16" t="n"/>
      <c r="I6" s="16" t="n"/>
      <c r="J6" s="16" t="n"/>
      <c r="K6" s="16" t="n"/>
      <c r="L6" s="16" t="inlineStr">
        <is>
          <t>https://attack.mitre.org/techniques/T1592</t>
        </is>
      </c>
    </row>
    <row r="7" ht="15" customHeight="1" s="7">
      <c r="A7" s="16" t="inlineStr">
        <is>
          <t>Reconnaissance</t>
        </is>
      </c>
      <c r="B7" s="16" t="inlineStr">
        <is>
          <t>T1592</t>
        </is>
      </c>
      <c r="C7" s="16" t="inlineStr">
        <is>
          <t>Gather Victim Host Information</t>
        </is>
      </c>
      <c r="D7" s="16" t="inlineStr">
        <is>
          <t>T1592.003</t>
        </is>
      </c>
      <c r="E7" s="16" t="inlineStr">
        <is>
          <t>Firmware</t>
        </is>
      </c>
      <c r="F7" s="16" t="inlineStr">
        <is>
          <t>No</t>
        </is>
      </c>
      <c r="G7" s="16" t="inlineStr">
        <is>
          <t>-</t>
        </is>
      </c>
      <c r="H7" s="16" t="n"/>
      <c r="I7" s="16" t="n"/>
      <c r="J7" s="16" t="n"/>
      <c r="K7" s="16" t="n"/>
      <c r="L7" s="16" t="inlineStr">
        <is>
          <t>https://attack.mitre.org/techniques/T1592</t>
        </is>
      </c>
    </row>
    <row r="8" ht="23.85" customHeight="1" s="7">
      <c r="A8" s="16" t="inlineStr">
        <is>
          <t>Reconnaissance</t>
        </is>
      </c>
      <c r="B8" s="16" t="inlineStr">
        <is>
          <t>T1592</t>
        </is>
      </c>
      <c r="C8" s="16" t="inlineStr">
        <is>
          <t>Gather Victim Host Information</t>
        </is>
      </c>
      <c r="D8" s="16" t="inlineStr">
        <is>
          <t>T1592.004</t>
        </is>
      </c>
      <c r="E8" s="16" t="inlineStr">
        <is>
          <t>Client Configurations</t>
        </is>
      </c>
      <c r="F8" s="16" t="inlineStr">
        <is>
          <t>Partial</t>
        </is>
      </c>
      <c r="G8" s="16" t="inlineStr">
        <is>
          <t>Environment information can be recorded in smart contracts only to a limited extent (indirect information collected off-chain).</t>
        </is>
      </c>
      <c r="H8" s="16" t="n"/>
      <c r="I8" s="16" t="n"/>
      <c r="J8" s="16" t="n"/>
      <c r="K8" s="16" t="n"/>
      <c r="L8" s="16" t="inlineStr">
        <is>
          <t>https://attack.mitre.org/techniques/T1592</t>
        </is>
      </c>
    </row>
    <row r="9" ht="15" customHeight="1" s="7">
      <c r="A9" s="16" t="inlineStr">
        <is>
          <t>Reconnaissance</t>
        </is>
      </c>
      <c r="B9" s="16" t="inlineStr">
        <is>
          <t>T1589</t>
        </is>
      </c>
      <c r="C9" s="16" t="inlineStr">
        <is>
          <t>Gather Victim Identity Information</t>
        </is>
      </c>
      <c r="D9" s="16" t="inlineStr">
        <is>
          <t>T1589.001</t>
        </is>
      </c>
      <c r="E9" s="16" t="inlineStr">
        <is>
          <t>Credentials</t>
        </is>
      </c>
      <c r="F9" s="16" t="inlineStr">
        <is>
          <t>No</t>
        </is>
      </c>
      <c r="G9" s="16" t="inlineStr">
        <is>
          <t>-</t>
        </is>
      </c>
      <c r="H9" s="16" t="n"/>
      <c r="I9" s="16" t="n"/>
      <c r="J9" s="16" t="n"/>
      <c r="K9" s="16" t="n"/>
      <c r="L9" s="16" t="inlineStr">
        <is>
          <t>https://attack.mitre.org/techniques/T1589</t>
        </is>
      </c>
    </row>
    <row r="10" ht="15" customHeight="1" s="7">
      <c r="A10" s="16" t="inlineStr">
        <is>
          <t>Reconnaissance</t>
        </is>
      </c>
      <c r="B10" s="16" t="inlineStr">
        <is>
          <t>T1589</t>
        </is>
      </c>
      <c r="C10" s="16" t="inlineStr">
        <is>
          <t>Gather Victim Identity Information</t>
        </is>
      </c>
      <c r="D10" s="16" t="inlineStr">
        <is>
          <t>T1589.002</t>
        </is>
      </c>
      <c r="E10" s="16" t="inlineStr">
        <is>
          <t>Email Addresses</t>
        </is>
      </c>
      <c r="F10" s="16" t="inlineStr">
        <is>
          <t>No</t>
        </is>
      </c>
      <c r="G10" s="16" t="inlineStr">
        <is>
          <t>-</t>
        </is>
      </c>
      <c r="H10" s="16" t="n"/>
      <c r="I10" s="16" t="n"/>
      <c r="J10" s="16" t="n"/>
      <c r="K10" s="16" t="n"/>
      <c r="L10" s="16" t="inlineStr">
        <is>
          <t>https://attack.mitre.org/techniques/T1589</t>
        </is>
      </c>
    </row>
    <row r="11" ht="15" customHeight="1" s="7">
      <c r="A11" s="16" t="inlineStr">
        <is>
          <t>Reconnaissance</t>
        </is>
      </c>
      <c r="B11" s="16" t="inlineStr">
        <is>
          <t>T1589</t>
        </is>
      </c>
      <c r="C11" s="16" t="inlineStr">
        <is>
          <t>Gather Victim Identity Information</t>
        </is>
      </c>
      <c r="D11" s="16" t="inlineStr">
        <is>
          <t>T1589.003</t>
        </is>
      </c>
      <c r="E11" s="16" t="inlineStr">
        <is>
          <t>Employee Names</t>
        </is>
      </c>
      <c r="F11" s="16" t="inlineStr">
        <is>
          <t>No</t>
        </is>
      </c>
      <c r="G11" s="16" t="inlineStr">
        <is>
          <t>-</t>
        </is>
      </c>
      <c r="H11" s="16" t="n"/>
      <c r="I11" s="16" t="n"/>
      <c r="J11" s="16" t="n"/>
      <c r="K11" s="16" t="n"/>
      <c r="L11" s="16" t="inlineStr">
        <is>
          <t>https://attack.mitre.org/techniques/T1589</t>
        </is>
      </c>
    </row>
    <row r="12" ht="23.85" customHeight="1" s="7">
      <c r="A12" s="16" t="inlineStr">
        <is>
          <t>Reconnaissance</t>
        </is>
      </c>
      <c r="B12" s="16" t="inlineStr">
        <is>
          <t>T1590</t>
        </is>
      </c>
      <c r="C12" s="16" t="inlineStr">
        <is>
          <t>Gather Victim Network Information</t>
        </is>
      </c>
      <c r="D12" s="16" t="inlineStr">
        <is>
          <t>T1590.001</t>
        </is>
      </c>
      <c r="E12" s="16" t="inlineStr">
        <is>
          <t>Domain Properties</t>
        </is>
      </c>
      <c r="F12" s="16" t="inlineStr">
        <is>
          <t>No</t>
        </is>
      </c>
      <c r="G12" s="16" t="inlineStr">
        <is>
          <t>-</t>
        </is>
      </c>
      <c r="H12" s="16" t="n"/>
      <c r="I12" s="16" t="n"/>
      <c r="J12" s="16" t="n"/>
      <c r="K12" s="16" t="n"/>
      <c r="L12" s="16" t="inlineStr">
        <is>
          <t>https://attack.mitre.org/techniques/T1590</t>
        </is>
      </c>
    </row>
    <row r="13" ht="23.85" customHeight="1" s="7">
      <c r="A13" s="16" t="inlineStr">
        <is>
          <t>Reconnaissance</t>
        </is>
      </c>
      <c r="B13" s="16" t="inlineStr">
        <is>
          <t>T1590</t>
        </is>
      </c>
      <c r="C13" s="16" t="inlineStr">
        <is>
          <t>Gather Victim Network Information</t>
        </is>
      </c>
      <c r="D13" s="16" t="inlineStr">
        <is>
          <t>T1590.002</t>
        </is>
      </c>
      <c r="E13" s="16" t="inlineStr">
        <is>
          <t>DNS</t>
        </is>
      </c>
      <c r="F13" s="16" t="inlineStr">
        <is>
          <t>No</t>
        </is>
      </c>
      <c r="G13" s="16" t="inlineStr">
        <is>
          <t>-</t>
        </is>
      </c>
      <c r="H13" s="16" t="n"/>
      <c r="I13" s="16" t="n"/>
      <c r="J13" s="16" t="n"/>
      <c r="K13" s="16" t="n"/>
      <c r="L13" s="16" t="inlineStr">
        <is>
          <t>https://attack.mitre.org/techniques/T1590</t>
        </is>
      </c>
    </row>
    <row r="14" ht="23.85" customHeight="1" s="7">
      <c r="A14" s="16" t="inlineStr">
        <is>
          <t>Reconnaissance</t>
        </is>
      </c>
      <c r="B14" s="16" t="inlineStr">
        <is>
          <t>T1590</t>
        </is>
      </c>
      <c r="C14" s="16" t="inlineStr">
        <is>
          <t>Gather Victim Network Information</t>
        </is>
      </c>
      <c r="D14" s="16" t="inlineStr">
        <is>
          <t>T1590.003</t>
        </is>
      </c>
      <c r="E14" s="16" t="inlineStr">
        <is>
          <t>Network Trust Dependencies</t>
        </is>
      </c>
      <c r="F14" s="16" t="inlineStr">
        <is>
          <t>No</t>
        </is>
      </c>
      <c r="G14" s="16" t="inlineStr">
        <is>
          <t>-</t>
        </is>
      </c>
      <c r="H14" s="16" t="n"/>
      <c r="I14" s="16" t="n"/>
      <c r="J14" s="16" t="n"/>
      <c r="K14" s="16" t="n"/>
      <c r="L14" s="16" t="inlineStr">
        <is>
          <t>https://attack.mitre.org/techniques/T1590</t>
        </is>
      </c>
    </row>
    <row r="15" ht="23.85" customHeight="1" s="7">
      <c r="A15" s="16" t="inlineStr">
        <is>
          <t>Reconnaissance</t>
        </is>
      </c>
      <c r="B15" s="16" t="inlineStr">
        <is>
          <t>T1590</t>
        </is>
      </c>
      <c r="C15" s="16" t="inlineStr">
        <is>
          <t>Gather Victim Network Information</t>
        </is>
      </c>
      <c r="D15" s="16" t="inlineStr">
        <is>
          <t>T1590.004</t>
        </is>
      </c>
      <c r="E15" s="16" t="inlineStr">
        <is>
          <t>Network Topology</t>
        </is>
      </c>
      <c r="F15" s="16" t="inlineStr">
        <is>
          <t>No</t>
        </is>
      </c>
      <c r="G15" s="16" t="inlineStr">
        <is>
          <t>-</t>
        </is>
      </c>
      <c r="H15" s="16" t="n"/>
      <c r="I15" s="16" t="n"/>
      <c r="J15" s="16" t="n"/>
      <c r="K15" s="16" t="n"/>
      <c r="L15" s="16" t="inlineStr">
        <is>
          <t>https://attack.mitre.org/techniques/T1590</t>
        </is>
      </c>
    </row>
    <row r="16" ht="23.85" customHeight="1" s="7">
      <c r="A16" s="16" t="inlineStr">
        <is>
          <t>Reconnaissance</t>
        </is>
      </c>
      <c r="B16" s="16" t="inlineStr">
        <is>
          <t>T1590</t>
        </is>
      </c>
      <c r="C16" s="16" t="inlineStr">
        <is>
          <t>Gather Victim Network Information</t>
        </is>
      </c>
      <c r="D16" s="16" t="inlineStr">
        <is>
          <t>T1590.005</t>
        </is>
      </c>
      <c r="E16" s="16" t="inlineStr">
        <is>
          <t>IP Addresses</t>
        </is>
      </c>
      <c r="F16" s="16" t="inlineStr">
        <is>
          <t>Partial</t>
        </is>
      </c>
      <c r="G16" s="16" t="inlineStr">
        <is>
          <t>Direct probing is not possible, but monitoring is possible using the results of off-chain scanning.</t>
        </is>
      </c>
      <c r="H16" s="16" t="n"/>
      <c r="I16" s="16" t="n"/>
      <c r="J16" s="16" t="n"/>
      <c r="K16" s="16" t="n"/>
      <c r="L16" s="16" t="inlineStr">
        <is>
          <t>https://attack.mitre.org/techniques/T1590</t>
        </is>
      </c>
    </row>
    <row r="17" ht="23.85" customHeight="1" s="7">
      <c r="A17" s="16" t="inlineStr">
        <is>
          <t>Reconnaissance</t>
        </is>
      </c>
      <c r="B17" s="16" t="inlineStr">
        <is>
          <t>T1590</t>
        </is>
      </c>
      <c r="C17" s="16" t="inlineStr">
        <is>
          <t>Gather Victim Network Information</t>
        </is>
      </c>
      <c r="D17" s="16" t="inlineStr">
        <is>
          <t>T1590.006</t>
        </is>
      </c>
      <c r="E17" s="16" t="inlineStr">
        <is>
          <t>Network Security Appliances</t>
        </is>
      </c>
      <c r="F17" s="16" t="inlineStr">
        <is>
          <t>No</t>
        </is>
      </c>
      <c r="G17" s="16" t="inlineStr">
        <is>
          <t>-</t>
        </is>
      </c>
      <c r="H17" s="16" t="n"/>
      <c r="I17" s="16" t="n"/>
      <c r="J17" s="16" t="n"/>
      <c r="K17" s="16" t="n"/>
      <c r="L17" s="16" t="inlineStr">
        <is>
          <t>https://attack.mitre.org/techniques/T1590</t>
        </is>
      </c>
    </row>
    <row r="18" ht="15" customHeight="1" s="7">
      <c r="A18" s="16" t="inlineStr">
        <is>
          <t>Reconnaissance</t>
        </is>
      </c>
      <c r="B18" s="16" t="inlineStr">
        <is>
          <t>T1591</t>
        </is>
      </c>
      <c r="C18" s="16" t="inlineStr">
        <is>
          <t>Gather Victim Org Information</t>
        </is>
      </c>
      <c r="D18" s="16" t="inlineStr">
        <is>
          <t>T1591.001</t>
        </is>
      </c>
      <c r="E18" s="16" t="inlineStr">
        <is>
          <t>Determine Physical Locations</t>
        </is>
      </c>
      <c r="F18" s="16" t="inlineStr">
        <is>
          <t>No</t>
        </is>
      </c>
      <c r="G18" s="16" t="inlineStr">
        <is>
          <t>-</t>
        </is>
      </c>
      <c r="H18" s="16" t="n"/>
      <c r="I18" s="16" t="n"/>
      <c r="J18" s="16" t="n"/>
      <c r="K18" s="16" t="n"/>
      <c r="L18" s="16" t="inlineStr">
        <is>
          <t>https://attack.mitre.org/techniques/T1591</t>
        </is>
      </c>
    </row>
    <row r="19" ht="15" customHeight="1" s="7">
      <c r="A19" s="16" t="inlineStr">
        <is>
          <t>Reconnaissance</t>
        </is>
      </c>
      <c r="B19" s="16" t="inlineStr">
        <is>
          <t>T1591</t>
        </is>
      </c>
      <c r="C19" s="16" t="inlineStr">
        <is>
          <t>Gather Victim Org Information</t>
        </is>
      </c>
      <c r="D19" s="16" t="inlineStr">
        <is>
          <t>T1591.002</t>
        </is>
      </c>
      <c r="E19" s="16" t="inlineStr">
        <is>
          <t>Business Relationships</t>
        </is>
      </c>
      <c r="F19" s="16" t="inlineStr">
        <is>
          <t>No</t>
        </is>
      </c>
      <c r="G19" s="16" t="inlineStr">
        <is>
          <t>-</t>
        </is>
      </c>
      <c r="H19" s="16" t="n"/>
      <c r="I19" s="16" t="n"/>
      <c r="J19" s="16" t="n"/>
      <c r="K19" s="16" t="n"/>
      <c r="L19" s="16" t="inlineStr">
        <is>
          <t>https://attack.mitre.org/techniques/T1591</t>
        </is>
      </c>
    </row>
    <row r="20" ht="15" customHeight="1" s="7">
      <c r="A20" s="16" t="inlineStr">
        <is>
          <t>Reconnaissance</t>
        </is>
      </c>
      <c r="B20" s="16" t="inlineStr">
        <is>
          <t>T1591</t>
        </is>
      </c>
      <c r="C20" s="16" t="inlineStr">
        <is>
          <t>Gather Victim Org Information</t>
        </is>
      </c>
      <c r="D20" s="16" t="inlineStr">
        <is>
          <t>T1591.003</t>
        </is>
      </c>
      <c r="E20" s="16" t="inlineStr">
        <is>
          <t>Identify Business Tempo</t>
        </is>
      </c>
      <c r="F20" s="16" t="inlineStr">
        <is>
          <t>No</t>
        </is>
      </c>
      <c r="G20" s="16" t="inlineStr">
        <is>
          <t>-</t>
        </is>
      </c>
      <c r="H20" s="16" t="n"/>
      <c r="I20" s="16" t="n"/>
      <c r="J20" s="16" t="n"/>
      <c r="K20" s="16" t="n"/>
      <c r="L20" s="16" t="inlineStr">
        <is>
          <t>https://attack.mitre.org/techniques/T1591</t>
        </is>
      </c>
    </row>
    <row r="21" ht="15" customHeight="1" s="7">
      <c r="A21" s="16" t="inlineStr">
        <is>
          <t>Reconnaissance</t>
        </is>
      </c>
      <c r="B21" s="16" t="inlineStr">
        <is>
          <t>T1591</t>
        </is>
      </c>
      <c r="C21" s="16" t="inlineStr">
        <is>
          <t>Gather Victim Org Information</t>
        </is>
      </c>
      <c r="D21" s="16" t="inlineStr">
        <is>
          <t>T1591.004</t>
        </is>
      </c>
      <c r="E21" s="16" t="inlineStr">
        <is>
          <t>Identify Roles</t>
        </is>
      </c>
      <c r="F21" s="16" t="inlineStr">
        <is>
          <t>Partial</t>
        </is>
      </c>
      <c r="G21" s="16" t="inlineStr">
        <is>
          <t>A DID document may contain some role information.</t>
        </is>
      </c>
      <c r="H21" s="16" t="n"/>
      <c r="I21" s="16" t="n"/>
      <c r="J21" s="16" t="n"/>
      <c r="K21" s="16" t="n"/>
      <c r="L21" s="16" t="inlineStr">
        <is>
          <t>https://attack.mitre.org/techniques/T1591</t>
        </is>
      </c>
    </row>
    <row r="22" ht="15" customHeight="1" s="7">
      <c r="A22" s="16" t="inlineStr">
        <is>
          <t>Reconnaissance</t>
        </is>
      </c>
      <c r="B22" s="16" t="inlineStr">
        <is>
          <t>T1598</t>
        </is>
      </c>
      <c r="C22" s="16" t="inlineStr">
        <is>
          <t>Phishing for Information</t>
        </is>
      </c>
      <c r="D22" s="16" t="inlineStr">
        <is>
          <t>T1598.001</t>
        </is>
      </c>
      <c r="E22" s="16" t="inlineStr">
        <is>
          <t>Spearphishing Service</t>
        </is>
      </c>
      <c r="F22" s="16" t="inlineStr">
        <is>
          <t>No</t>
        </is>
      </c>
      <c r="G22" s="16" t="inlineStr">
        <is>
          <t>-</t>
        </is>
      </c>
      <c r="H22" s="16" t="n"/>
      <c r="I22" s="16" t="n"/>
      <c r="J22" s="16" t="n"/>
      <c r="K22" s="16" t="n"/>
      <c r="L22" s="16" t="inlineStr">
        <is>
          <t>https://attack.mitre.org/techniques/T1598</t>
        </is>
      </c>
    </row>
    <row r="23" ht="15" customHeight="1" s="7">
      <c r="A23" s="16" t="inlineStr">
        <is>
          <t>Reconnaissance</t>
        </is>
      </c>
      <c r="B23" s="16" t="inlineStr">
        <is>
          <t>T1598</t>
        </is>
      </c>
      <c r="C23" s="16" t="inlineStr">
        <is>
          <t>Phishing for Information</t>
        </is>
      </c>
      <c r="D23" s="16" t="inlineStr">
        <is>
          <t>T1598.002</t>
        </is>
      </c>
      <c r="E23" s="16" t="inlineStr">
        <is>
          <t>Spearphishing Attachment</t>
        </is>
      </c>
      <c r="F23" s="16" t="inlineStr">
        <is>
          <t>No</t>
        </is>
      </c>
      <c r="G23" s="16" t="inlineStr">
        <is>
          <t>-</t>
        </is>
      </c>
      <c r="H23" s="16" t="n"/>
      <c r="I23" s="16" t="n"/>
      <c r="J23" s="16" t="n"/>
      <c r="K23" s="16" t="n"/>
      <c r="L23" s="16" t="inlineStr">
        <is>
          <t>https://attack.mitre.org/techniques/T1598</t>
        </is>
      </c>
    </row>
    <row r="24" ht="15" customHeight="1" s="7">
      <c r="A24" s="16" t="inlineStr">
        <is>
          <t>Reconnaissance</t>
        </is>
      </c>
      <c r="B24" s="16" t="inlineStr">
        <is>
          <t>T1598</t>
        </is>
      </c>
      <c r="C24" s="16" t="inlineStr">
        <is>
          <t>Phishing for Information</t>
        </is>
      </c>
      <c r="D24" s="16" t="inlineStr">
        <is>
          <t>T1598.003</t>
        </is>
      </c>
      <c r="E24" s="16" t="inlineStr">
        <is>
          <t>Spearphishing Link</t>
        </is>
      </c>
      <c r="F24" s="16" t="inlineStr">
        <is>
          <t>No</t>
        </is>
      </c>
      <c r="G24" s="16" t="inlineStr">
        <is>
          <t>-</t>
        </is>
      </c>
      <c r="H24" s="16" t="n"/>
      <c r="I24" s="16" t="n"/>
      <c r="J24" s="16" t="n"/>
      <c r="K24" s="16" t="n"/>
      <c r="L24" s="16" t="inlineStr">
        <is>
          <t>https://attack.mitre.org/techniques/T1598</t>
        </is>
      </c>
    </row>
    <row r="25" ht="15" customHeight="1" s="7">
      <c r="A25" s="16" t="inlineStr">
        <is>
          <t>Reconnaissance</t>
        </is>
      </c>
      <c r="B25" s="16" t="inlineStr">
        <is>
          <t>T1598</t>
        </is>
      </c>
      <c r="C25" s="16" t="inlineStr">
        <is>
          <t>Phishing for Information</t>
        </is>
      </c>
      <c r="D25" s="16" t="inlineStr">
        <is>
          <t>T1598.004</t>
        </is>
      </c>
      <c r="E25" s="16" t="inlineStr">
        <is>
          <t>Spearphishing Voice</t>
        </is>
      </c>
      <c r="F25" s="16" t="inlineStr">
        <is>
          <t>No</t>
        </is>
      </c>
      <c r="G25" s="16" t="inlineStr">
        <is>
          <t>-</t>
        </is>
      </c>
      <c r="H25" s="16" t="n"/>
      <c r="I25" s="16" t="n"/>
      <c r="J25" s="16" t="n"/>
      <c r="K25" s="16" t="n"/>
      <c r="L25" s="16" t="inlineStr">
        <is>
          <t>https://attack.mitre.org/techniques/T1598</t>
        </is>
      </c>
    </row>
    <row r="26" ht="15" customHeight="1" s="7">
      <c r="A26" s="16" t="inlineStr">
        <is>
          <t>Reconnaissance</t>
        </is>
      </c>
      <c r="B26" s="16" t="inlineStr">
        <is>
          <t>T1597</t>
        </is>
      </c>
      <c r="C26" s="16" t="inlineStr">
        <is>
          <t>Search Closed Sources</t>
        </is>
      </c>
      <c r="D26" s="16" t="inlineStr">
        <is>
          <t>T1597.001</t>
        </is>
      </c>
      <c r="E26" s="16" t="inlineStr">
        <is>
          <t>Threat Intel Vendors</t>
        </is>
      </c>
      <c r="F26" s="16" t="inlineStr">
        <is>
          <t>No</t>
        </is>
      </c>
      <c r="G26" s="16" t="inlineStr">
        <is>
          <t>-</t>
        </is>
      </c>
      <c r="H26" s="16" t="n"/>
      <c r="I26" s="16" t="n"/>
      <c r="J26" s="16" t="n"/>
      <c r="K26" s="16" t="n"/>
      <c r="L26" s="16" t="inlineStr">
        <is>
          <t>https://attack.mitre.org/techniques/T1597</t>
        </is>
      </c>
    </row>
    <row r="27" ht="15" customHeight="1" s="7">
      <c r="A27" s="16" t="inlineStr">
        <is>
          <t>Reconnaissance</t>
        </is>
      </c>
      <c r="B27" s="16" t="inlineStr">
        <is>
          <t>T1597</t>
        </is>
      </c>
      <c r="C27" s="16" t="inlineStr">
        <is>
          <t>Search Closed Sources</t>
        </is>
      </c>
      <c r="D27" s="16" t="inlineStr">
        <is>
          <t>T1597.002</t>
        </is>
      </c>
      <c r="E27" s="16" t="inlineStr">
        <is>
          <t>Purchase Technical Data</t>
        </is>
      </c>
      <c r="F27" s="16" t="inlineStr">
        <is>
          <t>No</t>
        </is>
      </c>
      <c r="G27" s="16" t="inlineStr">
        <is>
          <t>-</t>
        </is>
      </c>
      <c r="H27" s="16" t="n"/>
      <c r="I27" s="16" t="n"/>
      <c r="J27" s="16" t="n"/>
      <c r="K27" s="16" t="n"/>
      <c r="L27" s="16" t="inlineStr">
        <is>
          <t>https://attack.mitre.org/techniques/T1597</t>
        </is>
      </c>
    </row>
    <row r="28" ht="23.85" customHeight="1" s="7">
      <c r="A28" s="16" t="inlineStr">
        <is>
          <t>Reconnaissance</t>
        </is>
      </c>
      <c r="B28" s="16" t="inlineStr">
        <is>
          <t>T1596</t>
        </is>
      </c>
      <c r="C28" s="16" t="inlineStr">
        <is>
          <t>Search Open Technical Databases</t>
        </is>
      </c>
      <c r="D28" s="16" t="inlineStr">
        <is>
          <t>T1596.001</t>
        </is>
      </c>
      <c r="E28" s="16" t="inlineStr">
        <is>
          <t>DNS/Passive DNS</t>
        </is>
      </c>
      <c r="F28" s="16" t="inlineStr">
        <is>
          <t>Partial</t>
        </is>
      </c>
      <c r="G28" s="16" t="inlineStr">
        <is>
          <t>-</t>
        </is>
      </c>
      <c r="H28" s="16" t="n"/>
      <c r="I28" s="16" t="n"/>
      <c r="J28" s="16" t="n"/>
      <c r="K28" s="16" t="n"/>
      <c r="L28" s="16" t="inlineStr">
        <is>
          <t>https://attack.mitre.org/techniques/T1596</t>
        </is>
      </c>
    </row>
    <row r="29" ht="23.85" customHeight="1" s="7">
      <c r="A29" s="16" t="inlineStr">
        <is>
          <t>Reconnaissance</t>
        </is>
      </c>
      <c r="B29" s="16" t="inlineStr">
        <is>
          <t>T1596</t>
        </is>
      </c>
      <c r="C29" s="16" t="inlineStr">
        <is>
          <t>Search Open Technical Databases</t>
        </is>
      </c>
      <c r="D29" s="16" t="inlineStr">
        <is>
          <t>T1596.002</t>
        </is>
      </c>
      <c r="E29" s="16" t="inlineStr">
        <is>
          <t>WHOIS</t>
        </is>
      </c>
      <c r="F29" s="16" t="inlineStr">
        <is>
          <t>Partial</t>
        </is>
      </c>
      <c r="G29" s="16" t="inlineStr">
        <is>
          <t>-</t>
        </is>
      </c>
      <c r="H29" s="16" t="n"/>
      <c r="I29" s="16" t="n"/>
      <c r="J29" s="16" t="n"/>
      <c r="K29" s="16" t="n"/>
      <c r="L29" s="16" t="inlineStr">
        <is>
          <t>https://attack.mitre.org/techniques/T1596</t>
        </is>
      </c>
    </row>
    <row r="30" ht="23.85" customHeight="1" s="7">
      <c r="A30" s="16" t="inlineStr">
        <is>
          <t>Reconnaissance</t>
        </is>
      </c>
      <c r="B30" s="16" t="inlineStr">
        <is>
          <t>T1596</t>
        </is>
      </c>
      <c r="C30" s="16" t="inlineStr">
        <is>
          <t>Search Open Technical Databases</t>
        </is>
      </c>
      <c r="D30" s="16" t="inlineStr">
        <is>
          <t>T1596.003</t>
        </is>
      </c>
      <c r="E30" s="16" t="inlineStr">
        <is>
          <t>Digital Certificates</t>
        </is>
      </c>
      <c r="F30" s="16" t="inlineStr">
        <is>
          <t>Partial</t>
        </is>
      </c>
      <c r="G30" s="16" t="inlineStr">
        <is>
          <t>-</t>
        </is>
      </c>
      <c r="H30" s="16" t="n"/>
      <c r="I30" s="16" t="n"/>
      <c r="J30" s="16" t="n"/>
      <c r="K30" s="16" t="n"/>
      <c r="L30" s="16" t="inlineStr">
        <is>
          <t>https://attack.mitre.org/techniques/T1596</t>
        </is>
      </c>
    </row>
    <row r="31" ht="23.85" customHeight="1" s="7">
      <c r="A31" s="16" t="inlineStr">
        <is>
          <t>Reconnaissance</t>
        </is>
      </c>
      <c r="B31" s="16" t="inlineStr">
        <is>
          <t>T1596</t>
        </is>
      </c>
      <c r="C31" s="16" t="inlineStr">
        <is>
          <t>Search Open Technical Databases</t>
        </is>
      </c>
      <c r="D31" s="16" t="inlineStr">
        <is>
          <t>T1596.004</t>
        </is>
      </c>
      <c r="E31" s="16" t="inlineStr">
        <is>
          <t>CDNs</t>
        </is>
      </c>
      <c r="F31" s="16" t="inlineStr">
        <is>
          <t>Partial</t>
        </is>
      </c>
      <c r="G31" s="16" t="inlineStr">
        <is>
          <t>-</t>
        </is>
      </c>
      <c r="H31" s="16" t="n"/>
      <c r="I31" s="16" t="n"/>
      <c r="J31" s="16" t="n"/>
      <c r="K31" s="16" t="n"/>
      <c r="L31" s="16" t="inlineStr">
        <is>
          <t>https://attack.mitre.org/techniques/T1596</t>
        </is>
      </c>
    </row>
    <row r="32" ht="23.85" customHeight="1" s="7">
      <c r="A32" s="16" t="inlineStr">
        <is>
          <t>Reconnaissance</t>
        </is>
      </c>
      <c r="B32" s="16" t="inlineStr">
        <is>
          <t>T1596</t>
        </is>
      </c>
      <c r="C32" s="16" t="inlineStr">
        <is>
          <t>Search Open Technical Databases</t>
        </is>
      </c>
      <c r="D32" s="16" t="inlineStr">
        <is>
          <t>T1596.005</t>
        </is>
      </c>
      <c r="E32" s="16" t="inlineStr">
        <is>
          <t>Scan Databases</t>
        </is>
      </c>
      <c r="F32" s="16" t="inlineStr">
        <is>
          <t>Partial</t>
        </is>
      </c>
      <c r="G32" s="16" t="inlineStr">
        <is>
          <t>-</t>
        </is>
      </c>
      <c r="H32" s="16" t="n"/>
      <c r="I32" s="16" t="n"/>
      <c r="J32" s="16" t="n"/>
      <c r="K32" s="16" t="n"/>
      <c r="L32" s="16" t="inlineStr">
        <is>
          <t>https://attack.mitre.org/techniques/T1596</t>
        </is>
      </c>
    </row>
    <row r="33" ht="15" customHeight="1" s="7">
      <c r="A33" s="16" t="inlineStr">
        <is>
          <t>Reconnaissance</t>
        </is>
      </c>
      <c r="B33" s="16" t="inlineStr">
        <is>
          <t>T1593</t>
        </is>
      </c>
      <c r="C33" s="16" t="inlineStr">
        <is>
          <t>Search Open Websites/Domains</t>
        </is>
      </c>
      <c r="D33" s="16" t="inlineStr">
        <is>
          <t>T1593.001</t>
        </is>
      </c>
      <c r="E33" s="16" t="inlineStr">
        <is>
          <t>Social Media</t>
        </is>
      </c>
      <c r="F33" s="16" t="inlineStr">
        <is>
          <t>No</t>
        </is>
      </c>
      <c r="G33" s="16" t="inlineStr">
        <is>
          <t>-</t>
        </is>
      </c>
      <c r="H33" s="16" t="n"/>
      <c r="I33" s="16" t="n"/>
      <c r="J33" s="16" t="n"/>
      <c r="K33" s="16" t="n"/>
      <c r="L33" s="16" t="inlineStr">
        <is>
          <t>https://attack.mitre.org/techniques/T1593</t>
        </is>
      </c>
    </row>
    <row r="34" ht="15" customHeight="1" s="7">
      <c r="A34" s="16" t="inlineStr">
        <is>
          <t>Reconnaissance</t>
        </is>
      </c>
      <c r="B34" s="16" t="inlineStr">
        <is>
          <t>T1593</t>
        </is>
      </c>
      <c r="C34" s="16" t="inlineStr">
        <is>
          <t>Search Open Websites/Domains</t>
        </is>
      </c>
      <c r="D34" s="16" t="inlineStr">
        <is>
          <t>T1593.002</t>
        </is>
      </c>
      <c r="E34" s="16" t="inlineStr">
        <is>
          <t>Search Engines</t>
        </is>
      </c>
      <c r="F34" s="16" t="inlineStr">
        <is>
          <t>No</t>
        </is>
      </c>
      <c r="G34" s="16" t="inlineStr">
        <is>
          <t>-</t>
        </is>
      </c>
      <c r="H34" s="16" t="n"/>
      <c r="I34" s="16" t="n"/>
      <c r="J34" s="16" t="n"/>
      <c r="K34" s="16" t="n"/>
      <c r="L34" s="16" t="inlineStr">
        <is>
          <t>https://attack.mitre.org/techniques/T1593</t>
        </is>
      </c>
    </row>
    <row r="35" ht="15" customHeight="1" s="7">
      <c r="A35" s="16" t="inlineStr">
        <is>
          <t>Reconnaissance</t>
        </is>
      </c>
      <c r="B35" s="16" t="inlineStr">
        <is>
          <t>T1593</t>
        </is>
      </c>
      <c r="C35" s="16" t="inlineStr">
        <is>
          <t>Search Open Websites/Domains</t>
        </is>
      </c>
      <c r="D35" s="16" t="inlineStr">
        <is>
          <t>T1593.003</t>
        </is>
      </c>
      <c r="E35" s="16" t="inlineStr">
        <is>
          <t>Code Repositories</t>
        </is>
      </c>
      <c r="F35" s="16" t="inlineStr">
        <is>
          <t>No</t>
        </is>
      </c>
      <c r="G35" s="16" t="inlineStr">
        <is>
          <t>-</t>
        </is>
      </c>
      <c r="H35" s="16" t="n"/>
      <c r="I35" s="16" t="n"/>
      <c r="J35" s="16" t="n"/>
      <c r="K35" s="16" t="n"/>
      <c r="L35" s="16" t="inlineStr">
        <is>
          <t>https://attack.mitre.org/techniques/T1593</t>
        </is>
      </c>
    </row>
    <row r="36" ht="35.05" customHeight="1" s="7">
      <c r="A36" s="16" t="inlineStr">
        <is>
          <t>Reconnaissance</t>
        </is>
      </c>
      <c r="B36" s="16" t="inlineStr">
        <is>
          <t>T1594</t>
        </is>
      </c>
      <c r="C36" s="16" t="inlineStr">
        <is>
          <t>Search Victim-Owned Websites</t>
        </is>
      </c>
      <c r="D36" s="16" t="n"/>
      <c r="E36" s="16" t="inlineStr">
        <is>
          <t>Search Victim-Owned Websites</t>
        </is>
      </c>
      <c r="F36" s="16" t="inlineStr">
        <is>
          <t>No</t>
        </is>
      </c>
      <c r="G36" s="16" t="inlineStr">
        <is>
          <t>-</t>
        </is>
      </c>
      <c r="H36" s="16" t="n"/>
      <c r="I36" s="16" t="n"/>
      <c r="J36" s="16" t="n"/>
      <c r="K36" s="16" t="inlineStr">
        <is>
          <t>"Search Victim-Owned Websites" is not a v17 sub-technique of T1594; kept as analyzed</t>
        </is>
      </c>
      <c r="L36" s="16" t="inlineStr">
        <is>
          <t>https://attack.mitre.org/techniques/T1594</t>
        </is>
      </c>
    </row>
    <row r="37" ht="113.4" customHeight="1" s="7">
      <c r="A37" s="16" t="inlineStr">
        <is>
          <t>Resource Development</t>
        </is>
      </c>
      <c r="B37" s="16" t="inlineStr">
        <is>
          <t>T1650</t>
        </is>
      </c>
      <c r="C37" s="16" t="inlineStr">
        <is>
          <t>Acquire Access</t>
        </is>
      </c>
      <c r="D37" s="16" t="n"/>
      <c r="E37" s="16" t="n"/>
      <c r="F37" s="16" t="inlineStr">
        <is>
          <t>Partial</t>
        </is>
      </c>
      <c r="G37" s="16" t="inlineStr">
        <is>
          <t>An attacker can acquire DID/VC accounts, issuer credentials, network access rights, etc. from external sources and attempt authentication while posing as the legitimate owner, or carry out attacks by impersonating an issuer or verifier. Directly tampering with on-chain data is difficult, but privilege theft in off-chain authentication and management systems, accounts, and networks is a real threat.</t>
        </is>
      </c>
      <c r="H37" s="16" t="inlineStr">
        <is>
          <t>When externally leaked accounts, privileges, or network access are used in an attack, the same damage occurs: authentication bypass, information leakage, privilege escalation, and system intrusion.</t>
        </is>
      </c>
      <c r="I37" s="16" t="inlineStr">
        <is>
          <t>Owing to its on-chain trust structure (immutable records, verification logic, etc.), a DID system is not immediately disabled as a whole even if some privileges are stolen. In conventional systems, the theft of a single privilege can endanger the entire service.</t>
        </is>
      </c>
      <c r="J37" s="16" t="inlineStr">
        <is>
          <t>Monitor leakage of sensitive information such as DID/VC service accounts and network access rights; immediately revoke privileges when prior exposure or trading is detected; detect anomalous authentication and access events in real time; and strengthen administrator approval procedures. Reinforce the authentication procedures applied when externally obtained privileges are actually used (multi-factor authentication, device verification, etc.).</t>
        </is>
      </c>
      <c r="K37" s="16" t="n"/>
      <c r="L37" s="16" t="inlineStr">
        <is>
          <t>https://attack.mitre.org/techniques/T1650</t>
        </is>
      </c>
    </row>
    <row r="38" ht="102.2" customHeight="1" s="7">
      <c r="A38" s="16" t="inlineStr">
        <is>
          <t>Resource Development</t>
        </is>
      </c>
      <c r="B38" s="16" t="inlineStr">
        <is>
          <t>T1583</t>
        </is>
      </c>
      <c r="C38" s="16" t="inlineStr">
        <is>
          <t>Acquire Infrastructure</t>
        </is>
      </c>
      <c r="D38" s="16" t="inlineStr">
        <is>
          <t>T1583.001</t>
        </is>
      </c>
      <c r="E38" s="16" t="inlineStr">
        <is>
          <t>Domains</t>
        </is>
      </c>
      <c r="F38" s="16" t="inlineStr">
        <is>
          <t>Partial</t>
        </is>
      </c>
      <c r="G38"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38" s="16" t="inlineStr">
        <is>
          <t>When attack infrastructure (servers, domains, cloud, etc.) is abused, the same damage occurs: phishing, authentication bypass, privilege escalation, and service forgery.</t>
        </is>
      </c>
      <c r="I38"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38"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38" s="16" t="n"/>
      <c r="L38" s="16" t="inlineStr">
        <is>
          <t>https://attack.mitre.org/techniques/T1583</t>
        </is>
      </c>
    </row>
    <row r="39" ht="102.2" customHeight="1" s="7">
      <c r="A39" s="16" t="inlineStr">
        <is>
          <t>Resource Development</t>
        </is>
      </c>
      <c r="B39" s="16" t="inlineStr">
        <is>
          <t>T1583</t>
        </is>
      </c>
      <c r="C39" s="16" t="inlineStr">
        <is>
          <t>Acquire Infrastructure</t>
        </is>
      </c>
      <c r="D39" s="16" t="inlineStr">
        <is>
          <t>T1583.002</t>
        </is>
      </c>
      <c r="E39" s="16" t="inlineStr">
        <is>
          <t>DNS Server</t>
        </is>
      </c>
      <c r="F39" s="16" t="inlineStr">
        <is>
          <t>Partial</t>
        </is>
      </c>
      <c r="G39"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39" s="16" t="inlineStr">
        <is>
          <t>When attack infrastructure (servers, domains, cloud, etc.) is abused, the same damage occurs: phishing, authentication bypass, privilege escalation, and service forgery.</t>
        </is>
      </c>
      <c r="I39"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39"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39" s="16" t="n"/>
      <c r="L39" s="16" t="inlineStr">
        <is>
          <t>https://attack.mitre.org/techniques/T1583</t>
        </is>
      </c>
    </row>
    <row r="40" ht="102.2" customHeight="1" s="7">
      <c r="A40" s="16" t="inlineStr">
        <is>
          <t>Resource Development</t>
        </is>
      </c>
      <c r="B40" s="16" t="inlineStr">
        <is>
          <t>T1583</t>
        </is>
      </c>
      <c r="C40" s="16" t="inlineStr">
        <is>
          <t>Acquire Infrastructure</t>
        </is>
      </c>
      <c r="D40" s="16" t="inlineStr">
        <is>
          <t>T1583.003</t>
        </is>
      </c>
      <c r="E40" s="16" t="inlineStr">
        <is>
          <t>Virtual Private Server</t>
        </is>
      </c>
      <c r="F40" s="16" t="inlineStr">
        <is>
          <t>Partial</t>
        </is>
      </c>
      <c r="G40"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40" s="16" t="inlineStr">
        <is>
          <t>When attack infrastructure (servers, domains, cloud, etc.) is abused, the same damage occurs: phishing, authentication bypass, privilege escalation, and service forgery.</t>
        </is>
      </c>
      <c r="I40"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40"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40" s="16" t="n"/>
      <c r="L40" s="16" t="inlineStr">
        <is>
          <t>https://attack.mitre.org/techniques/T1583</t>
        </is>
      </c>
    </row>
    <row r="41" ht="102.2" customHeight="1" s="7">
      <c r="A41" s="16" t="inlineStr">
        <is>
          <t>Resource Development</t>
        </is>
      </c>
      <c r="B41" s="16" t="inlineStr">
        <is>
          <t>T1583</t>
        </is>
      </c>
      <c r="C41" s="16" t="inlineStr">
        <is>
          <t>Acquire Infrastructure</t>
        </is>
      </c>
      <c r="D41" s="16" t="inlineStr">
        <is>
          <t>T1583.004</t>
        </is>
      </c>
      <c r="E41" s="16" t="inlineStr">
        <is>
          <t>Server</t>
        </is>
      </c>
      <c r="F41" s="16" t="inlineStr">
        <is>
          <t>Partial</t>
        </is>
      </c>
      <c r="G41"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41" s="16" t="inlineStr">
        <is>
          <t>When attack infrastructure (servers, domains, cloud, etc.) is abused, the same damage occurs: phishing, authentication bypass, privilege escalation, and service forgery.</t>
        </is>
      </c>
      <c r="I41"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41"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41" s="16" t="n"/>
      <c r="L41" s="16" t="inlineStr">
        <is>
          <t>https://attack.mitre.org/techniques/T1583</t>
        </is>
      </c>
    </row>
    <row r="42" ht="102.2" customHeight="1" s="7">
      <c r="A42" s="16" t="inlineStr">
        <is>
          <t>Resource Development</t>
        </is>
      </c>
      <c r="B42" s="16" t="inlineStr">
        <is>
          <t>T1583</t>
        </is>
      </c>
      <c r="C42" s="16" t="inlineStr">
        <is>
          <t>Acquire Infrastructure</t>
        </is>
      </c>
      <c r="D42" s="16" t="inlineStr">
        <is>
          <t>T1583.005</t>
        </is>
      </c>
      <c r="E42" s="16" t="inlineStr">
        <is>
          <t>Botnet</t>
        </is>
      </c>
      <c r="F42" s="16" t="inlineStr">
        <is>
          <t>Partial</t>
        </is>
      </c>
      <c r="G42"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42" s="16" t="inlineStr">
        <is>
          <t>When attack infrastructure (servers, domains, cloud, etc.) is abused, the same damage occurs: phishing, authentication bypass, privilege escalation, and service forgery.</t>
        </is>
      </c>
      <c r="I42"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42"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42" s="16" t="n"/>
      <c r="L42" s="16" t="inlineStr">
        <is>
          <t>https://attack.mitre.org/techniques/T1583</t>
        </is>
      </c>
    </row>
    <row r="43" ht="102.2" customHeight="1" s="7">
      <c r="A43" s="16" t="inlineStr">
        <is>
          <t>Resource Development</t>
        </is>
      </c>
      <c r="B43" s="16" t="inlineStr">
        <is>
          <t>T1583</t>
        </is>
      </c>
      <c r="C43" s="16" t="inlineStr">
        <is>
          <t>Acquire Infrastructure</t>
        </is>
      </c>
      <c r="D43" s="16" t="inlineStr">
        <is>
          <t>T1583.006</t>
        </is>
      </c>
      <c r="E43" s="16" t="inlineStr">
        <is>
          <t>Web Services</t>
        </is>
      </c>
      <c r="F43" s="16" t="inlineStr">
        <is>
          <t>Partial</t>
        </is>
      </c>
      <c r="G43"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43" s="16" t="inlineStr">
        <is>
          <t>When attack infrastructure (servers, domains, cloud, etc.) is abused, the same damage occurs: phishing, authentication bypass, privilege escalation, and service forgery.</t>
        </is>
      </c>
      <c r="I43"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43"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43" s="16" t="n"/>
      <c r="L43" s="16" t="inlineStr">
        <is>
          <t>https://attack.mitre.org/techniques/T1583</t>
        </is>
      </c>
    </row>
    <row r="44" ht="102.2" customHeight="1" s="7">
      <c r="A44" s="16" t="inlineStr">
        <is>
          <t>Resource Development</t>
        </is>
      </c>
      <c r="B44" s="16" t="inlineStr">
        <is>
          <t>T1583</t>
        </is>
      </c>
      <c r="C44" s="16" t="inlineStr">
        <is>
          <t>Acquire Infrastructure</t>
        </is>
      </c>
      <c r="D44" s="16" t="inlineStr">
        <is>
          <t>T1583.007</t>
        </is>
      </c>
      <c r="E44" s="16" t="inlineStr">
        <is>
          <t>Serverless</t>
        </is>
      </c>
      <c r="F44" s="16" t="inlineStr">
        <is>
          <t>Partial</t>
        </is>
      </c>
      <c r="G44"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44" s="16" t="inlineStr">
        <is>
          <t>When attack infrastructure (servers, domains, cloud, etc.) is abused, the same damage occurs: phishing, authentication bypass, privilege escalation, and service forgery.</t>
        </is>
      </c>
      <c r="I44"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44"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44" s="16" t="n"/>
      <c r="L44" s="16" t="inlineStr">
        <is>
          <t>https://attack.mitre.org/techniques/T1583</t>
        </is>
      </c>
    </row>
    <row r="45" ht="102.2" customHeight="1" s="7">
      <c r="A45" s="16" t="inlineStr">
        <is>
          <t>Resource Development</t>
        </is>
      </c>
      <c r="B45" s="16" t="inlineStr">
        <is>
          <t>T1583</t>
        </is>
      </c>
      <c r="C45" s="16" t="inlineStr">
        <is>
          <t>Acquire Infrastructure</t>
        </is>
      </c>
      <c r="D45" s="16" t="inlineStr">
        <is>
          <t>T1583.008</t>
        </is>
      </c>
      <c r="E45" s="16" t="inlineStr">
        <is>
          <t>Malvertising</t>
        </is>
      </c>
      <c r="F45" s="16" t="inlineStr">
        <is>
          <t>Partial</t>
        </is>
      </c>
      <c r="G45" s="16" t="inlineStr">
        <is>
          <t>An attacker can build malicious VC issuance services, fake authentication servers, phishing sites, etc. on self-purchased or leased infrastructure (servers, domains, etc.) and use them to infiltrate the DID/VC authentication ecosystem. On-chain data cannot be tampered with directly, but attack infrastructure such as off-chain issuance/authentication systems and phishing servers is a real threat.</t>
        </is>
      </c>
      <c r="H45" s="16" t="inlineStr">
        <is>
          <t>When attack infrastructure (servers, domains, cloud, etc.) is abused, the same damage occurs: phishing, authentication bypass, privilege escalation, and service forgery.</t>
        </is>
      </c>
      <c r="I45" s="16" t="inlineStr">
        <is>
          <t>Because a DID system is on-chain based (immutable records, distributed consensus, etc.), some functions (issuance, authentication, etc.) may be constrained when attack infrastructure is set up, but off-chain services can still be targeted. In conventional systems, the scope of damage is larger when a single piece of infrastructure is seized.</t>
        </is>
      </c>
      <c r="J45" s="16" t="inlineStr">
        <is>
          <t>When new infrastructure (servers, domains, etc.) appears in the DID/VC ecosystem, strengthen response policies such as blacklisting, automatic anomaly detection, and blocking requests from unregistered infrastructure. Monitor access and authentication events from external infrastructure in real time, and link administrator approval and on-chain records when anomalous behavior occurs.</t>
        </is>
      </c>
      <c r="K45" s="16" t="n"/>
      <c r="L45" s="16" t="inlineStr">
        <is>
          <t>https://attack.mitre.org/techniques/T1583</t>
        </is>
      </c>
    </row>
    <row r="46" ht="124.6" customHeight="1" s="7">
      <c r="A46" s="16" t="inlineStr">
        <is>
          <t>Resource Development</t>
        </is>
      </c>
      <c r="B46" s="16" t="inlineStr">
        <is>
          <t>T1586</t>
        </is>
      </c>
      <c r="C46" s="16" t="inlineStr">
        <is>
          <t>Compromise Accounts</t>
        </is>
      </c>
      <c r="D46" s="16" t="inlineStr">
        <is>
          <t>T1586.001</t>
        </is>
      </c>
      <c r="E46" s="16" t="inlineStr">
        <is>
          <t>Social Media Accounts</t>
        </is>
      </c>
      <c r="F46" s="16" t="inlineStr">
        <is>
          <t>Partial</t>
        </is>
      </c>
      <c r="G46" s="16" t="inlineStr">
        <is>
          <t>If accounts of DID/VC issuers, verifiers, or management servers are taken over through phishing, purchase, brute force, etc., various attacks become possible, such as authenticating and issuing as the legitimate owner, privilege escalation, and VC forgery. On-chain data cannot be tampered with directly, but off-chain authentication and management systems become the main targets.</t>
        </is>
      </c>
      <c r="H46" s="16" t="inlineStr">
        <is>
          <t>Account takeover can cause the same damage, such as privilege escalation, authentication bypass, and information leakage.</t>
        </is>
      </c>
      <c r="I46" s="16" t="inlineStr">
        <is>
          <t>Owing to its on-chain trust structure, a DID system does not immediately lose the trustworthiness of the whole network even if some accounts are taken over. In conventional systems, the takeover of a single key account can expose the entire service to critical risk.</t>
        </is>
      </c>
      <c r="J46" s="16" t="inlineStr">
        <is>
          <t>Security policies are needed, such as strong authentication for issuer, verifier, and administrator accounts (multi-factor authentication, OTP), login-history monitoring, detection of abnormal access, immediate blocking and privilege revocation when account takeover is suspected, and stronger on-chain history recording. When account-takeover damage occurs, procedures are needed to assess the scope of impact on the entire service and to revoke privileges and recover promptly.</t>
        </is>
      </c>
      <c r="K46" s="16" t="n"/>
      <c r="L46" s="16" t="inlineStr">
        <is>
          <t>https://attack.mitre.org/techniques/T1586</t>
        </is>
      </c>
    </row>
    <row r="47" ht="124.6" customHeight="1" s="7">
      <c r="A47" s="16" t="inlineStr">
        <is>
          <t>Resource Development</t>
        </is>
      </c>
      <c r="B47" s="16" t="inlineStr">
        <is>
          <t>T1586</t>
        </is>
      </c>
      <c r="C47" s="16" t="inlineStr">
        <is>
          <t>Compromise Accounts</t>
        </is>
      </c>
      <c r="D47" s="16" t="inlineStr">
        <is>
          <t>T1586.002</t>
        </is>
      </c>
      <c r="E47" s="16" t="inlineStr">
        <is>
          <t>Email Accounts</t>
        </is>
      </c>
      <c r="F47" s="16" t="inlineStr">
        <is>
          <t>Partial</t>
        </is>
      </c>
      <c r="G47" s="16" t="inlineStr">
        <is>
          <t>If accounts of DID/VC issuers, verifiers, or management servers are taken over through phishing, purchase, brute force, etc., various attacks become possible, such as authenticating and issuing as the legitimate owner, privilege escalation, and VC forgery. On-chain data cannot be tampered with directly, but off-chain authentication and management systems become the main targets.</t>
        </is>
      </c>
      <c r="H47" s="16" t="inlineStr">
        <is>
          <t>Account takeover can cause the same damage, such as privilege escalation, authentication bypass, and information leakage.</t>
        </is>
      </c>
      <c r="I47" s="16" t="inlineStr">
        <is>
          <t>Owing to its on-chain trust structure, a DID system does not immediately lose the trustworthiness of the whole network even if some accounts are taken over. In conventional systems, the takeover of a single key account can expose the entire service to critical risk.</t>
        </is>
      </c>
      <c r="J47" s="16" t="inlineStr">
        <is>
          <t>Security policies are needed, such as strong authentication for issuer, verifier, and administrator accounts (multi-factor authentication, OTP), login-history monitoring, detection of abnormal access, immediate blocking and privilege revocation when account takeover is suspected, and stronger on-chain history recording. When account-takeover damage occurs, procedures are needed to assess the scope of impact on the entire service and to revoke privileges and recover promptly.</t>
        </is>
      </c>
      <c r="K47" s="16" t="n"/>
      <c r="L47" s="16" t="inlineStr">
        <is>
          <t>https://attack.mitre.org/techniques/T1586</t>
        </is>
      </c>
    </row>
    <row r="48" ht="124.6" customHeight="1" s="7">
      <c r="A48" s="16" t="inlineStr">
        <is>
          <t>Resource Development</t>
        </is>
      </c>
      <c r="B48" s="16" t="inlineStr">
        <is>
          <t>T1586</t>
        </is>
      </c>
      <c r="C48" s="16" t="inlineStr">
        <is>
          <t>Compromise Accounts</t>
        </is>
      </c>
      <c r="D48" s="16" t="inlineStr">
        <is>
          <t>T1586.003</t>
        </is>
      </c>
      <c r="E48" s="16" t="inlineStr">
        <is>
          <t>Cloud Accounts</t>
        </is>
      </c>
      <c r="F48" s="16" t="inlineStr">
        <is>
          <t>Partial</t>
        </is>
      </c>
      <c r="G48" s="16" t="inlineStr">
        <is>
          <t>If accounts of DID/VC issuers, verifiers, or management servers are taken over through phishing, purchase, brute force, etc., various attacks become possible, such as authenticating and issuing as the legitimate owner, privilege escalation, and VC forgery. On-chain data cannot be tampered with directly, but off-chain authentication and management systems become the main targets.</t>
        </is>
      </c>
      <c r="H48" s="16" t="inlineStr">
        <is>
          <t>Account takeover can cause the same damage, such as privilege escalation, authentication bypass, and information leakage.</t>
        </is>
      </c>
      <c r="I48" s="16" t="inlineStr">
        <is>
          <t>Owing to its on-chain trust structure, a DID system does not immediately lose the trustworthiness of the whole network even if some accounts are taken over. In conventional systems, the takeover of a single key account can expose the entire service to critical risk.</t>
        </is>
      </c>
      <c r="J48" s="16" t="inlineStr">
        <is>
          <t>Security policies are needed, such as strong authentication for issuer, verifier, and administrator accounts (multi-factor authentication, OTP), login-history monitoring, detection of abnormal access, immediate blocking and privilege revocation when account takeover is suspected, and stronger on-chain history recording. When account-takeover damage occurs, procedures are needed to assess the scope of impact on the entire service and to revoke privileges and recover promptly.</t>
        </is>
      </c>
      <c r="K48" s="16" t="n"/>
      <c r="L48" s="16" t="inlineStr">
        <is>
          <t>https://attack.mitre.org/techniques/T1586</t>
        </is>
      </c>
    </row>
    <row r="49" ht="102.2" customHeight="1" s="7">
      <c r="A49" s="16" t="inlineStr">
        <is>
          <t>Resource Development</t>
        </is>
      </c>
      <c r="B49" s="16" t="inlineStr">
        <is>
          <t>T1584</t>
        </is>
      </c>
      <c r="C49" s="16" t="inlineStr">
        <is>
          <t>Compromise Infrastructure</t>
        </is>
      </c>
      <c r="D49" s="16" t="inlineStr">
        <is>
          <t>T1584.001</t>
        </is>
      </c>
      <c r="E49" s="16" t="inlineStr">
        <is>
          <t>Domains</t>
        </is>
      </c>
      <c r="F49" s="16" t="inlineStr">
        <is>
          <t>Partial</t>
        </is>
      </c>
      <c r="G49"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49" s="16" t="inlineStr">
        <is>
          <t>Compromise of infrastructure (servers, domains, cloud, etc.) causes the same damage: privilege escalation, authentication bypass, data theft, and collapse of trust.</t>
        </is>
      </c>
      <c r="I49"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49"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49" s="16" t="n"/>
      <c r="L49" s="16" t="inlineStr">
        <is>
          <t>https://attack.mitre.org/techniques/T1584</t>
        </is>
      </c>
    </row>
    <row r="50" ht="102.2" customHeight="1" s="7">
      <c r="A50" s="16" t="inlineStr">
        <is>
          <t>Resource Development</t>
        </is>
      </c>
      <c r="B50" s="16" t="inlineStr">
        <is>
          <t>T1584</t>
        </is>
      </c>
      <c r="C50" s="16" t="inlineStr">
        <is>
          <t>Compromise Infrastructure</t>
        </is>
      </c>
      <c r="D50" s="16" t="inlineStr">
        <is>
          <t>T1584.002</t>
        </is>
      </c>
      <c r="E50" s="16" t="inlineStr">
        <is>
          <t>DNS Server</t>
        </is>
      </c>
      <c r="F50" s="16" t="inlineStr">
        <is>
          <t>Partial</t>
        </is>
      </c>
      <c r="G50"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0" s="16" t="inlineStr">
        <is>
          <t>Compromise of infrastructure (servers, domains, cloud, etc.) causes the same damage: privilege escalation, authentication bypass, data theft, and collapse of trust.</t>
        </is>
      </c>
      <c r="I50"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0"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0" s="16" t="n"/>
      <c r="L50" s="16" t="inlineStr">
        <is>
          <t>https://attack.mitre.org/techniques/T1584</t>
        </is>
      </c>
    </row>
    <row r="51" ht="102.2" customHeight="1" s="7">
      <c r="A51" s="16" t="inlineStr">
        <is>
          <t>Resource Development</t>
        </is>
      </c>
      <c r="B51" s="16" t="inlineStr">
        <is>
          <t>T1584</t>
        </is>
      </c>
      <c r="C51" s="16" t="inlineStr">
        <is>
          <t>Compromise Infrastructure</t>
        </is>
      </c>
      <c r="D51" s="16" t="inlineStr">
        <is>
          <t>T1584.003</t>
        </is>
      </c>
      <c r="E51" s="16" t="inlineStr">
        <is>
          <t>Virtual Private Server</t>
        </is>
      </c>
      <c r="F51" s="16" t="inlineStr">
        <is>
          <t>Partial</t>
        </is>
      </c>
      <c r="G51"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1" s="16" t="inlineStr">
        <is>
          <t>Compromise of infrastructure (servers, domains, cloud, etc.) causes the same damage: privilege escalation, authentication bypass, data theft, and collapse of trust.</t>
        </is>
      </c>
      <c r="I51"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1"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1" s="16" t="n"/>
      <c r="L51" s="16" t="inlineStr">
        <is>
          <t>https://attack.mitre.org/techniques/T1584</t>
        </is>
      </c>
    </row>
    <row r="52" ht="102.2" customHeight="1" s="7">
      <c r="A52" s="16" t="inlineStr">
        <is>
          <t>Resource Development</t>
        </is>
      </c>
      <c r="B52" s="16" t="inlineStr">
        <is>
          <t>T1584</t>
        </is>
      </c>
      <c r="C52" s="16" t="inlineStr">
        <is>
          <t>Compromise Infrastructure</t>
        </is>
      </c>
      <c r="D52" s="16" t="inlineStr">
        <is>
          <t>T1584.004</t>
        </is>
      </c>
      <c r="E52" s="16" t="inlineStr">
        <is>
          <t>Server</t>
        </is>
      </c>
      <c r="F52" s="16" t="inlineStr">
        <is>
          <t>Partial</t>
        </is>
      </c>
      <c r="G52"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2" s="16" t="inlineStr">
        <is>
          <t>Compromise of infrastructure (servers, domains, cloud, etc.) causes the same damage: privilege escalation, authentication bypass, data theft, and collapse of trust.</t>
        </is>
      </c>
      <c r="I52"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2"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2" s="16" t="n"/>
      <c r="L52" s="16" t="inlineStr">
        <is>
          <t>https://attack.mitre.org/techniques/T1584</t>
        </is>
      </c>
    </row>
    <row r="53" ht="102.2" customHeight="1" s="7">
      <c r="A53" s="16" t="inlineStr">
        <is>
          <t>Resource Development</t>
        </is>
      </c>
      <c r="B53" s="16" t="inlineStr">
        <is>
          <t>T1584</t>
        </is>
      </c>
      <c r="C53" s="16" t="inlineStr">
        <is>
          <t>Compromise Infrastructure</t>
        </is>
      </c>
      <c r="D53" s="16" t="inlineStr">
        <is>
          <t>T1584.005</t>
        </is>
      </c>
      <c r="E53" s="16" t="inlineStr">
        <is>
          <t>Botnet</t>
        </is>
      </c>
      <c r="F53" s="16" t="inlineStr">
        <is>
          <t>Partial</t>
        </is>
      </c>
      <c r="G53"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3" s="16" t="inlineStr">
        <is>
          <t>Compromise of infrastructure (servers, domains, cloud, etc.) causes the same damage: privilege escalation, authentication bypass, data theft, and collapse of trust.</t>
        </is>
      </c>
      <c r="I53"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3"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3" s="16" t="n"/>
      <c r="L53" s="16" t="inlineStr">
        <is>
          <t>https://attack.mitre.org/techniques/T1584</t>
        </is>
      </c>
    </row>
    <row r="54" ht="102.2" customHeight="1" s="7">
      <c r="A54" s="16" t="inlineStr">
        <is>
          <t>Resource Development</t>
        </is>
      </c>
      <c r="B54" s="16" t="inlineStr">
        <is>
          <t>T1584</t>
        </is>
      </c>
      <c r="C54" s="16" t="inlineStr">
        <is>
          <t>Compromise Infrastructure</t>
        </is>
      </c>
      <c r="D54" s="16" t="inlineStr">
        <is>
          <t>T1584.006</t>
        </is>
      </c>
      <c r="E54" s="16" t="inlineStr">
        <is>
          <t>Web Services</t>
        </is>
      </c>
      <c r="F54" s="16" t="inlineStr">
        <is>
          <t>Partial</t>
        </is>
      </c>
      <c r="G54"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4" s="16" t="inlineStr">
        <is>
          <t>Compromise of infrastructure (servers, domains, cloud, etc.) causes the same damage: privilege escalation, authentication bypass, data theft, and collapse of trust.</t>
        </is>
      </c>
      <c r="I54"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4"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4" s="16" t="n"/>
      <c r="L54" s="16" t="inlineStr">
        <is>
          <t>https://attack.mitre.org/techniques/T1584</t>
        </is>
      </c>
    </row>
    <row r="55" ht="102.2" customHeight="1" s="7">
      <c r="A55" s="16" t="inlineStr">
        <is>
          <t>Resource Development</t>
        </is>
      </c>
      <c r="B55" s="16" t="inlineStr">
        <is>
          <t>T1584</t>
        </is>
      </c>
      <c r="C55" s="16" t="inlineStr">
        <is>
          <t>Compromise Infrastructure</t>
        </is>
      </c>
      <c r="D55" s="16" t="inlineStr">
        <is>
          <t>T1584.007</t>
        </is>
      </c>
      <c r="E55" s="16" t="inlineStr">
        <is>
          <t>Serverless</t>
        </is>
      </c>
      <c r="F55" s="16" t="inlineStr">
        <is>
          <t>Partial</t>
        </is>
      </c>
      <c r="G55"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5" s="16" t="inlineStr">
        <is>
          <t>Compromise of infrastructure (servers, domains, cloud, etc.) causes the same damage: privilege escalation, authentication bypass, data theft, and collapse of trust.</t>
        </is>
      </c>
      <c r="I55"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5"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5" s="16" t="n"/>
      <c r="L55" s="16" t="inlineStr">
        <is>
          <t>https://attack.mitre.org/techniques/T1584</t>
        </is>
      </c>
    </row>
    <row r="56" ht="102.2" customHeight="1" s="7">
      <c r="A56" s="16" t="inlineStr">
        <is>
          <t>Resource Development</t>
        </is>
      </c>
      <c r="B56" s="16" t="inlineStr">
        <is>
          <t>T1584</t>
        </is>
      </c>
      <c r="C56" s="16" t="inlineStr">
        <is>
          <t>Compromise Infrastructure</t>
        </is>
      </c>
      <c r="D56" s="16" t="inlineStr">
        <is>
          <t>T1584.008</t>
        </is>
      </c>
      <c r="E56" s="16" t="inlineStr">
        <is>
          <t>Network Devices</t>
        </is>
      </c>
      <c r="F56" s="16" t="inlineStr">
        <is>
          <t>Partial</t>
        </is>
      </c>
      <c r="G56" s="16" t="inlineStr">
        <is>
          <t>Trust-anchoring DID/VC infrastructure (issuers, verifiers, Registry, etc.) can be compromised, enabling attacks disguised as legitimate servers and domains. On-chain data cannot be tampered with directly, but seizing off-chain infrastructure can lead to core threats such as authentication bypass, VC forgery, and information leakage.</t>
        </is>
      </c>
      <c r="H56" s="16" t="inlineStr">
        <is>
          <t>Compromise of infrastructure (servers, domains, cloud, etc.) causes the same damage: privilege escalation, authentication bypass, data theft, and collapse of trust.</t>
        </is>
      </c>
      <c r="I56" s="16" t="inlineStr">
        <is>
          <t>Owing to its on-chain trust structure and distributed consensus, a DID system does not collapse immediately as a whole even if some infrastructure is compromised. In centralized conventional systems, seizing a single piece of infrastructure can affect the entire service.</t>
        </is>
      </c>
      <c r="J56" s="16" t="inlineStr">
        <is>
          <t>Required policies include periodic review of ownership and access rights for DID/VC infrastructure (servers, domains, Registry, etc.), real-time monitoring of anomalous behavior, and prompt privilege revocation and network isolation upon compromise. Infrastructure change, access, and anomaly events should be linked with on-chain records to strengthen trustworthiness, traceability, and auditing.</t>
        </is>
      </c>
      <c r="K56" s="16" t="n"/>
      <c r="L56" s="16" t="inlineStr">
        <is>
          <t>https://attack.mitre.org/techniques/T1584</t>
        </is>
      </c>
    </row>
    <row r="57" ht="102.2" customHeight="1" s="7">
      <c r="A57" s="16" t="inlineStr">
        <is>
          <t>Resource Development</t>
        </is>
      </c>
      <c r="B57" s="16" t="inlineStr">
        <is>
          <t>T1587</t>
        </is>
      </c>
      <c r="C57" s="16" t="inlineStr">
        <is>
          <t>Develop Capabilities</t>
        </is>
      </c>
      <c r="D57" s="16" t="inlineStr">
        <is>
          <t>T1587.001</t>
        </is>
      </c>
      <c r="E57" s="16" t="inlineStr">
        <is>
          <t>Malware</t>
        </is>
      </c>
      <c r="F57" s="16" t="inlineStr">
        <is>
          <t>Partial</t>
        </is>
      </c>
      <c r="G57" s="16" t="inlineStr">
        <is>
          <t>Attacker-developed VC forgery tools, automated authentication/replay scripts, tampering tools, etc. can directly threaten the trust of DID/VC authentication systems. Tampering with on-chain data is difficult, but such tools can be used to tamper with off-chain systems and authentication flows and to conduct automated attacks.</t>
        </is>
      </c>
      <c r="H57" s="16" t="inlineStr">
        <is>
          <t>Attacker-developed tools, malware, scripts, etc. are used for attacks such as authentication bypass, privilege theft, information leakage, and service disruption.</t>
        </is>
      </c>
      <c r="I57" s="16" t="inlineStr">
        <is>
          <t>Because of its on-chain structure, a DID system is hard to tamper with or destroy directly, but similar threats exist in off-chain services, authentication flows, and automated activity. In centralized conventional systems, damage spreads more widely once a developed tool is deployed.</t>
        </is>
      </c>
      <c r="J57" s="16" t="inlineStr">
        <is>
          <t>DID/VC systems need real-time detection and alerting for events such as new tools, scripts, automated activity, and abnormal authentication requests, as well as stronger post-incident tracing and auditing linked with on-chain logs. Countermeasures should be prepared, such as sharing threat intelligence on externally identified attack tools and automatically updating defense rules.</t>
        </is>
      </c>
      <c r="K57" s="16" t="n"/>
      <c r="L57" s="16" t="inlineStr">
        <is>
          <t>https://attack.mitre.org/techniques/T1587</t>
        </is>
      </c>
    </row>
    <row r="58" ht="102.2" customHeight="1" s="7">
      <c r="A58" s="16" t="inlineStr">
        <is>
          <t>Resource Development</t>
        </is>
      </c>
      <c r="B58" s="16" t="inlineStr">
        <is>
          <t>T1587</t>
        </is>
      </c>
      <c r="C58" s="16" t="inlineStr">
        <is>
          <t>Develop Capabilities</t>
        </is>
      </c>
      <c r="D58" s="16" t="inlineStr">
        <is>
          <t>T1587.002</t>
        </is>
      </c>
      <c r="E58" s="16" t="inlineStr">
        <is>
          <t>Code Signing Certificates</t>
        </is>
      </c>
      <c r="F58" s="16" t="inlineStr">
        <is>
          <t>Partial</t>
        </is>
      </c>
      <c r="G58" s="16" t="inlineStr">
        <is>
          <t>Attacker-developed VC forgery tools, automated authentication/replay scripts, tampering tools, etc. can directly threaten the trust of DID/VC authentication systems. Tampering with on-chain data is difficult, but such tools can be used to tamper with off-chain systems and authentication flows and to conduct automated attacks.</t>
        </is>
      </c>
      <c r="H58" s="16" t="inlineStr">
        <is>
          <t>Attacker-developed tools, malware, scripts, etc. are used for attacks such as authentication bypass, privilege theft, information leakage, and service disruption.</t>
        </is>
      </c>
      <c r="I58" s="16" t="inlineStr">
        <is>
          <t>Because of its on-chain structure, a DID system is hard to tamper with or destroy directly, but similar threats exist in off-chain services, authentication flows, and automated activity. In centralized conventional systems, damage spreads more widely once a developed tool is deployed.</t>
        </is>
      </c>
      <c r="J58" s="16" t="inlineStr">
        <is>
          <t>DID/VC systems need real-time detection and alerting for events such as new tools, scripts, automated activity, and abnormal authentication requests, as well as stronger post-incident tracing and auditing linked with on-chain logs. Countermeasures should be prepared, such as sharing threat intelligence on externally identified attack tools and automatically updating defense rules.</t>
        </is>
      </c>
      <c r="K58" s="16" t="n"/>
      <c r="L58" s="16" t="inlineStr">
        <is>
          <t>https://attack.mitre.org/techniques/T1587</t>
        </is>
      </c>
    </row>
    <row r="59" ht="102.2" customHeight="1" s="7">
      <c r="A59" s="16" t="inlineStr">
        <is>
          <t>Resource Development</t>
        </is>
      </c>
      <c r="B59" s="16" t="inlineStr">
        <is>
          <t>T1587</t>
        </is>
      </c>
      <c r="C59" s="16" t="inlineStr">
        <is>
          <t>Develop Capabilities</t>
        </is>
      </c>
      <c r="D59" s="16" t="inlineStr">
        <is>
          <t>T1587.003</t>
        </is>
      </c>
      <c r="E59" s="16" t="inlineStr">
        <is>
          <t>Digital Certificates</t>
        </is>
      </c>
      <c r="F59" s="16" t="inlineStr">
        <is>
          <t>Partial</t>
        </is>
      </c>
      <c r="G59" s="16" t="inlineStr">
        <is>
          <t>Attacker-developed VC forgery tools, automated authentication/replay scripts, tampering tools, etc. can directly threaten the trust of DID/VC authentication systems. Tampering with on-chain data is difficult, but such tools can be used to tamper with off-chain systems and authentication flows and to conduct automated attacks.</t>
        </is>
      </c>
      <c r="H59" s="16" t="inlineStr">
        <is>
          <t>Attacker-developed tools, malware, scripts, etc. are used for attacks such as authentication bypass, privilege theft, information leakage, and service disruption.</t>
        </is>
      </c>
      <c r="I59" s="16" t="inlineStr">
        <is>
          <t>Because of its on-chain structure, a DID system is hard to tamper with or destroy directly, but similar threats exist in off-chain services, authentication flows, and automated activity. In centralized conventional systems, damage spreads more widely once a developed tool is deployed.</t>
        </is>
      </c>
      <c r="J59" s="16" t="inlineStr">
        <is>
          <t>DID/VC systems need real-time detection and alerting for events such as new tools, scripts, automated activity, and abnormal authentication requests, as well as stronger post-incident tracing and auditing linked with on-chain logs. Countermeasures should be prepared, such as sharing threat intelligence on externally identified attack tools and automatically updating defense rules.</t>
        </is>
      </c>
      <c r="K59" s="16" t="n"/>
      <c r="L59" s="16" t="inlineStr">
        <is>
          <t>https://attack.mitre.org/techniques/T1587</t>
        </is>
      </c>
    </row>
    <row r="60" ht="102.2" customHeight="1" s="7">
      <c r="A60" s="16" t="inlineStr">
        <is>
          <t>Resource Development</t>
        </is>
      </c>
      <c r="B60" s="16" t="inlineStr">
        <is>
          <t>T1587</t>
        </is>
      </c>
      <c r="C60" s="16" t="inlineStr">
        <is>
          <t>Develop Capabilities</t>
        </is>
      </c>
      <c r="D60" s="16" t="inlineStr">
        <is>
          <t>T1587.004</t>
        </is>
      </c>
      <c r="E60" s="16" t="inlineStr">
        <is>
          <t>Exploits</t>
        </is>
      </c>
      <c r="F60" s="16" t="inlineStr">
        <is>
          <t>Partial</t>
        </is>
      </c>
      <c r="G60" s="16" t="inlineStr">
        <is>
          <t>Attacker-developed VC forgery tools, automated authentication/replay scripts, tampering tools, etc. can directly threaten the trust of DID/VC authentication systems. Tampering with on-chain data is difficult, but such tools can be used to tamper with off-chain systems and authentication flows and to conduct automated attacks.</t>
        </is>
      </c>
      <c r="H60" s="16" t="inlineStr">
        <is>
          <t>Attacker-developed tools, malware, scripts, etc. are used for attacks such as authentication bypass, privilege theft, information leakage, and service disruption.</t>
        </is>
      </c>
      <c r="I60" s="16" t="inlineStr">
        <is>
          <t>Because of its on-chain structure, a DID system is hard to tamper with or destroy directly, but similar threats exist in off-chain services, authentication flows, and automated activity. In centralized conventional systems, damage spreads more widely once a developed tool is deployed.</t>
        </is>
      </c>
      <c r="J60" s="16" t="inlineStr">
        <is>
          <t>DID/VC systems need real-time detection and alerting for events such as new tools, scripts, automated activity, and abnormal authentication requests, as well as stronger post-incident tracing and auditing linked with on-chain logs. Countermeasures should be prepared, such as sharing threat intelligence on externally identified attack tools and automatically updating defense rules.</t>
        </is>
      </c>
      <c r="K60" s="16" t="n"/>
      <c r="L60" s="16" t="inlineStr">
        <is>
          <t>https://attack.mitre.org/techniques/T1587</t>
        </is>
      </c>
    </row>
    <row r="61" ht="102.2" customHeight="1" s="7">
      <c r="A61" s="16" t="inlineStr">
        <is>
          <t>Resource Development</t>
        </is>
      </c>
      <c r="B61" s="16" t="inlineStr">
        <is>
          <t>T1585</t>
        </is>
      </c>
      <c r="C61" s="16" t="inlineStr">
        <is>
          <t>Establish Accounts</t>
        </is>
      </c>
      <c r="D61" s="16" t="inlineStr">
        <is>
          <t>T1585.001</t>
        </is>
      </c>
      <c r="E61" s="16" t="inlineStr">
        <is>
          <t>Social Media Accounts</t>
        </is>
      </c>
      <c r="F61" s="16" t="inlineStr">
        <is>
          <t>Partial</t>
        </is>
      </c>
      <c r="G61" s="16" t="inlineStr">
        <is>
          <t>An attacker can create new DIDs, VC issuers, user accounts, etc. to infiltrate the trust framework or act as a forged issuer or user. Tampering with on-chain data is difficult, but new off-chain accounts, automated accounts, and accounts with unverified privileges become channels for threats.</t>
        </is>
      </c>
      <c r="H61" s="16" t="inlineStr">
        <is>
          <t>An attacker can directly create new accounts, personas, automated users, etc. and use them for internal expansion, privilege theft, authentication bypass, etc.</t>
        </is>
      </c>
      <c r="I61" s="16" t="inlineStr">
        <is>
          <t>Owing to the on-chain authentication structure, even if some new accounts or issuers are created, the entire service is not immediately disabled, because of the authentication and verification logic within the trust framework. In conventional systems, a single new account poses a greater risk of seizing the internal network.</t>
        </is>
      </c>
      <c r="J61" s="16" t="inlineStr">
        <is>
          <t>DID/VC services need real-time detection, on-chain recording, and stronger administrator approval and verification procedures for key events such as new account creation, privilege assignment, and authentication approval. A monitoring scheme should be introduced for anomalous behavior such as automated account creation, unauthorized issuer registration, and abnormal privilege grants.</t>
        </is>
      </c>
      <c r="K61" s="16" t="n"/>
      <c r="L61" s="16" t="inlineStr">
        <is>
          <t>https://attack.mitre.org/techniques/T1585</t>
        </is>
      </c>
    </row>
    <row r="62" ht="102.2" customHeight="1" s="7">
      <c r="A62" s="16" t="inlineStr">
        <is>
          <t>Resource Development</t>
        </is>
      </c>
      <c r="B62" s="16" t="inlineStr">
        <is>
          <t>T1585</t>
        </is>
      </c>
      <c r="C62" s="16" t="inlineStr">
        <is>
          <t>Establish Accounts</t>
        </is>
      </c>
      <c r="D62" s="16" t="inlineStr">
        <is>
          <t>T1585.002</t>
        </is>
      </c>
      <c r="E62" s="16" t="inlineStr">
        <is>
          <t>Email Accounts</t>
        </is>
      </c>
      <c r="F62" s="16" t="inlineStr">
        <is>
          <t>Partial</t>
        </is>
      </c>
      <c r="G62" s="16" t="inlineStr">
        <is>
          <t>An attacker can create new DIDs, VC issuers, user accounts, etc. to infiltrate the trust framework or act as a forged issuer or user. Tampering with on-chain data is difficult, but new off-chain accounts, automated accounts, and accounts with unverified privileges become channels for threats.</t>
        </is>
      </c>
      <c r="H62" s="16" t="inlineStr">
        <is>
          <t>An attacker can directly create new accounts, personas, automated users, etc. and use them for internal expansion, privilege theft, authentication bypass, etc.</t>
        </is>
      </c>
      <c r="I62" s="16" t="inlineStr">
        <is>
          <t>Owing to the on-chain authentication structure, even if some new accounts or issuers are created, the entire service is not immediately disabled, because of the authentication and verification logic within the trust framework. In conventional systems, a single new account poses a greater risk of seizing the internal network.</t>
        </is>
      </c>
      <c r="J62" s="16" t="inlineStr">
        <is>
          <t>DID/VC services need real-time detection, on-chain recording, and stronger administrator approval and verification procedures for key events such as new account creation, privilege assignment, and authentication approval. A monitoring scheme should be introduced for anomalous behavior such as automated account creation, unauthorized issuer registration, and abnormal privilege grants.</t>
        </is>
      </c>
      <c r="K62" s="16" t="n"/>
      <c r="L62" s="16" t="inlineStr">
        <is>
          <t>https://attack.mitre.org/techniques/T1585</t>
        </is>
      </c>
    </row>
    <row r="63" ht="102.2" customHeight="1" s="7">
      <c r="A63" s="16" t="inlineStr">
        <is>
          <t>Resource Development</t>
        </is>
      </c>
      <c r="B63" s="16" t="inlineStr">
        <is>
          <t>T1585</t>
        </is>
      </c>
      <c r="C63" s="16" t="inlineStr">
        <is>
          <t>Establish Accounts</t>
        </is>
      </c>
      <c r="D63" s="16" t="inlineStr">
        <is>
          <t>T1585.003</t>
        </is>
      </c>
      <c r="E63" s="16" t="inlineStr">
        <is>
          <t>Cloud Accounts</t>
        </is>
      </c>
      <c r="F63" s="16" t="inlineStr">
        <is>
          <t>Partial</t>
        </is>
      </c>
      <c r="G63" s="16" t="inlineStr">
        <is>
          <t>An attacker can create new DIDs, VC issuers, user accounts, etc. to infiltrate the trust framework or act as a forged issuer or user. Tampering with on-chain data is difficult, but new off-chain accounts, automated accounts, and accounts with unverified privileges become channels for threats.</t>
        </is>
      </c>
      <c r="H63" s="16" t="inlineStr">
        <is>
          <t>An attacker can directly create new accounts, personas, automated users, etc. and use them for internal expansion, privilege theft, authentication bypass, etc.</t>
        </is>
      </c>
      <c r="I63" s="16" t="inlineStr">
        <is>
          <t>Owing to the on-chain authentication structure, even if some new accounts or issuers are created, the entire service is not immediately disabled, because of the authentication and verification logic within the trust framework. In conventional systems, a single new account poses a greater risk of seizing the internal network.</t>
        </is>
      </c>
      <c r="J63" s="16" t="inlineStr">
        <is>
          <t>DID/VC services need real-time detection, on-chain recording, and stronger administrator approval and verification procedures for key events such as new account creation, privilege assignment, and authentication approval. A monitoring scheme should be introduced for anomalous behavior such as automated account creation, unauthorized issuer registration, and abnormal privilege grants.</t>
        </is>
      </c>
      <c r="K63" s="16" t="n"/>
      <c r="L63" s="16" t="inlineStr">
        <is>
          <t>https://attack.mitre.org/techniques/T1585</t>
        </is>
      </c>
    </row>
    <row r="64" ht="102.2" customHeight="1" s="7">
      <c r="A64" s="16" t="inlineStr">
        <is>
          <t>Resource Development</t>
        </is>
      </c>
      <c r="B64" s="16" t="inlineStr">
        <is>
          <t>T1588</t>
        </is>
      </c>
      <c r="C64" s="16" t="inlineStr">
        <is>
          <t>Obtain Capabilities</t>
        </is>
      </c>
      <c r="D64" s="16" t="inlineStr">
        <is>
          <t>T1588.001</t>
        </is>
      </c>
      <c r="E64" s="16" t="inlineStr">
        <is>
          <t>Malware</t>
        </is>
      </c>
      <c r="F64" s="16" t="inlineStr">
        <is>
          <t>Partial</t>
        </is>
      </c>
      <c r="G64"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64" s="16" t="inlineStr">
        <is>
          <t>Attacks such as authentication bypass, information leakage, and service disruption are carried out with externally obtained malware, hacking tools, certificates, scripts, etc.</t>
        </is>
      </c>
      <c r="I64"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64"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64" s="16" t="n"/>
      <c r="L64" s="16" t="inlineStr">
        <is>
          <t>https://attack.mitre.org/techniques/T1588</t>
        </is>
      </c>
    </row>
    <row r="65" ht="102.2" customHeight="1" s="7">
      <c r="A65" s="16" t="inlineStr">
        <is>
          <t>Resource Development</t>
        </is>
      </c>
      <c r="B65" s="16" t="inlineStr">
        <is>
          <t>T1588</t>
        </is>
      </c>
      <c r="C65" s="16" t="inlineStr">
        <is>
          <t>Obtain Capabilities</t>
        </is>
      </c>
      <c r="D65" s="16" t="inlineStr">
        <is>
          <t>T1588.002</t>
        </is>
      </c>
      <c r="E65" s="16" t="inlineStr">
        <is>
          <t>Tool</t>
        </is>
      </c>
      <c r="F65" s="16" t="inlineStr">
        <is>
          <t>Partial</t>
        </is>
      </c>
      <c r="G65"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65" s="16" t="inlineStr">
        <is>
          <t>Attacks such as authentication bypass, information leakage, and service disruption are carried out with externally obtained malware, hacking tools, certificates, scripts, etc.</t>
        </is>
      </c>
      <c r="I65"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65"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65" s="16" t="n"/>
      <c r="L65" s="16" t="inlineStr">
        <is>
          <t>https://attack.mitre.org/techniques/T1588</t>
        </is>
      </c>
    </row>
    <row r="66" ht="102.2" customHeight="1" s="7">
      <c r="A66" s="16" t="inlineStr">
        <is>
          <t>Resource Development</t>
        </is>
      </c>
      <c r="B66" s="16" t="inlineStr">
        <is>
          <t>T1588</t>
        </is>
      </c>
      <c r="C66" s="16" t="inlineStr">
        <is>
          <t>Obtain Capabilities</t>
        </is>
      </c>
      <c r="D66" s="16" t="inlineStr">
        <is>
          <t>T1588.003</t>
        </is>
      </c>
      <c r="E66" s="16" t="inlineStr">
        <is>
          <t>Code Signing Certificates</t>
        </is>
      </c>
      <c r="F66" s="16" t="inlineStr">
        <is>
          <t>Partial</t>
        </is>
      </c>
      <c r="G66"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66" s="16" t="inlineStr">
        <is>
          <t>Attacks such as authentication bypass, information leakage, and service disruption are carried out with externally obtained malware, hacking tools, certificates, scripts, etc.</t>
        </is>
      </c>
      <c r="I66"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66"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66" s="16" t="n"/>
      <c r="L66" s="16" t="inlineStr">
        <is>
          <t>https://attack.mitre.org/techniques/T1588</t>
        </is>
      </c>
    </row>
    <row r="67" ht="102.2" customHeight="1" s="7">
      <c r="A67" s="16" t="inlineStr">
        <is>
          <t>Resource Development</t>
        </is>
      </c>
      <c r="B67" s="16" t="inlineStr">
        <is>
          <t>T1588</t>
        </is>
      </c>
      <c r="C67" s="16" t="inlineStr">
        <is>
          <t>Obtain Capabilities</t>
        </is>
      </c>
      <c r="D67" s="16" t="inlineStr">
        <is>
          <t>T1588.004</t>
        </is>
      </c>
      <c r="E67" s="16" t="inlineStr">
        <is>
          <t>Digital Certificates</t>
        </is>
      </c>
      <c r="F67" s="16" t="inlineStr">
        <is>
          <t>Partial</t>
        </is>
      </c>
      <c r="G67"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67" s="16" t="inlineStr">
        <is>
          <t>Attacks such as authentication bypass, information leakage, and service disruption are carried out with externally obtained malware, hacking tools, certificates, scripts, etc.</t>
        </is>
      </c>
      <c r="I67"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67"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67" s="16" t="n"/>
      <c r="L67" s="16" t="inlineStr">
        <is>
          <t>https://attack.mitre.org/techniques/T1588</t>
        </is>
      </c>
    </row>
    <row r="68" ht="102.2" customHeight="1" s="7">
      <c r="A68" s="16" t="inlineStr">
        <is>
          <t>Resource Development</t>
        </is>
      </c>
      <c r="B68" s="16" t="inlineStr">
        <is>
          <t>T1588</t>
        </is>
      </c>
      <c r="C68" s="16" t="inlineStr">
        <is>
          <t>Obtain Capabilities</t>
        </is>
      </c>
      <c r="D68" s="16" t="inlineStr">
        <is>
          <t>T1588.005</t>
        </is>
      </c>
      <c r="E68" s="16" t="inlineStr">
        <is>
          <t>Exploits</t>
        </is>
      </c>
      <c r="F68" s="16" t="inlineStr">
        <is>
          <t>Partial</t>
        </is>
      </c>
      <c r="G68"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68" s="16" t="inlineStr">
        <is>
          <t>Attacks such as authentication bypass, information leakage, and service disruption are carried out with externally obtained malware, hacking tools, certificates, scripts, etc.</t>
        </is>
      </c>
      <c r="I68"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68"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68" s="16" t="n"/>
      <c r="L68" s="16" t="inlineStr">
        <is>
          <t>https://attack.mitre.org/techniques/T1588</t>
        </is>
      </c>
    </row>
    <row r="69" ht="102.2" customHeight="1" s="7">
      <c r="A69" s="16" t="inlineStr">
        <is>
          <t>Resource Development</t>
        </is>
      </c>
      <c r="B69" s="16" t="inlineStr">
        <is>
          <t>T1588</t>
        </is>
      </c>
      <c r="C69" s="16" t="inlineStr">
        <is>
          <t>Obtain Capabilities</t>
        </is>
      </c>
      <c r="D69" s="16" t="inlineStr">
        <is>
          <t>T1588.006</t>
        </is>
      </c>
      <c r="E69" s="16" t="inlineStr">
        <is>
          <t>Vulnerabilities</t>
        </is>
      </c>
      <c r="F69" s="16" t="inlineStr">
        <is>
          <t>Partial</t>
        </is>
      </c>
      <c r="G69"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69" s="16" t="inlineStr">
        <is>
          <t>Attacks such as authentication bypass, information leakage, and service disruption are carried out with externally obtained malware, hacking tools, certificates, scripts, etc.</t>
        </is>
      </c>
      <c r="I69"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69"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69" s="16" t="n"/>
      <c r="L69" s="16" t="inlineStr">
        <is>
          <t>https://attack.mitre.org/techniques/T1588</t>
        </is>
      </c>
    </row>
    <row r="70" ht="102.2" customHeight="1" s="7">
      <c r="A70" s="16" t="inlineStr">
        <is>
          <t>Resource Development</t>
        </is>
      </c>
      <c r="B70" s="16" t="inlineStr">
        <is>
          <t>T1588</t>
        </is>
      </c>
      <c r="C70" s="16" t="inlineStr">
        <is>
          <t>Obtain Capabilities</t>
        </is>
      </c>
      <c r="D70" s="16" t="inlineStr">
        <is>
          <t>T1588.007</t>
        </is>
      </c>
      <c r="E70" s="16" t="inlineStr">
        <is>
          <t>Artificial Intelligence</t>
        </is>
      </c>
      <c r="F70" s="16" t="inlineStr">
        <is>
          <t>Partial</t>
        </is>
      </c>
      <c r="G70" s="16" t="inlineStr">
        <is>
          <t>If an attacker obtains attack resources such as malicious VC generators, authentication tools, and forgery scripts from external sources and deploys them against DID/VC infrastructure, real threats arise, such as VC forgery, authentication bypass, and privilege theft. Tampering with on-chain data is difficult, but these resources can be used directly to attack off-chain services and systems.</t>
        </is>
      </c>
      <c r="H70" s="16" t="inlineStr">
        <is>
          <t>Attacks such as authentication bypass, information leakage, and service disruption are carried out with externally obtained malware, hacking tools, certificates, scripts, etc.</t>
        </is>
      </c>
      <c r="I70" s="16" t="inlineStr">
        <is>
          <t>In a DID system, some threats may be distributed or mitigated by the on-chain trust structure, but off-chain management and issuance systems are vulnerable to the introduction of external tools. In centralized conventional systems, damage may spread faster.</t>
        </is>
      </c>
      <c r="J70" s="16" t="inlineStr">
        <is>
          <t>Anomaly-monitoring measures such as real-time detection, administrator approval, and on-chain recording should be strengthened when new resources such as external tools, scripts, and certificates are used or deployed. Countermeasures should be prepared, such as sharing threat intelligence on obtained malware and tools and automatically updating defense rules.</t>
        </is>
      </c>
      <c r="K70" s="16" t="n"/>
      <c r="L70" s="16" t="inlineStr">
        <is>
          <t>https://attack.mitre.org/techniques/T1588</t>
        </is>
      </c>
    </row>
    <row r="71" ht="113.4" customHeight="1" s="7">
      <c r="A71" s="16" t="inlineStr">
        <is>
          <t>Resource Development</t>
        </is>
      </c>
      <c r="B71" s="16" t="inlineStr">
        <is>
          <t>T1608</t>
        </is>
      </c>
      <c r="C71" s="16" t="inlineStr">
        <is>
          <t>Stage Capabilities</t>
        </is>
      </c>
      <c r="D71" s="16" t="inlineStr">
        <is>
          <t>T1608.001</t>
        </is>
      </c>
      <c r="E71" s="16" t="inlineStr">
        <is>
          <t>Upload Malware</t>
        </is>
      </c>
      <c r="F71" s="16" t="inlineStr">
        <is>
          <t>Partial</t>
        </is>
      </c>
      <c r="G71" s="16" t="inlineStr">
        <is>
          <t>If an attacker pre-positions (stages) malicious VCs, tampering tools, automation scripts, certificates, etc. on infrastructure inside or outside the DID/VC system, attacks such as authentication bypass, VC forgery, and privilege theft can unfold quickly. Directly tampering with on-chain data is difficult, but staging causes real damage through attacks on off-chain services and systems.</t>
        </is>
      </c>
      <c r="H71" s="16" t="inlineStr">
        <is>
          <t>If attack materials such as malware, scripts, and certificates are pre-positioned, they can cause damage such as large-scale infection, authentication bypass, and privilege theft.</t>
        </is>
      </c>
      <c r="I71" s="16" t="inlineStr">
        <is>
          <t>Owing to its on-chain trust structure, a DID system may see damage to the overall system dispersed even if materials are staged on some off-chain infrastructure. In centralized conventional systems, the damage is broader when staged materials are executed all at once.</t>
        </is>
      </c>
      <c r="J71" s="16" t="inlineStr">
        <is>
          <t>Real-time detection and administrator approval should be strengthened for anomalous behavior, such as placement of new files, scripts, and certificates and upload of unauthorized content, across all infrastructure of the DID/VC service (servers, collaboration tools, cloud, etc.). When attack materials are identified, proactive detection and post-incident response should be strengthened, for example through immediate isolation and linkage with on-chain records.</t>
        </is>
      </c>
      <c r="K71" s="16" t="n"/>
      <c r="L71" s="16" t="inlineStr">
        <is>
          <t>https://attack.mitre.org/techniques/T1608</t>
        </is>
      </c>
    </row>
    <row r="72" ht="113.4" customHeight="1" s="7">
      <c r="A72" s="16" t="inlineStr">
        <is>
          <t>Resource Development</t>
        </is>
      </c>
      <c r="B72" s="16" t="inlineStr">
        <is>
          <t>T1608</t>
        </is>
      </c>
      <c r="C72" s="16" t="inlineStr">
        <is>
          <t>Stage Capabilities</t>
        </is>
      </c>
      <c r="D72" s="16" t="inlineStr">
        <is>
          <t>T1608.002</t>
        </is>
      </c>
      <c r="E72" s="16" t="inlineStr">
        <is>
          <t>Upload Tool</t>
        </is>
      </c>
      <c r="F72" s="16" t="inlineStr">
        <is>
          <t>Partial</t>
        </is>
      </c>
      <c r="G72" s="16" t="inlineStr">
        <is>
          <t>If an attacker pre-positions (stages) malicious VCs, tampering tools, automation scripts, certificates, etc. on infrastructure inside or outside the DID/VC system, attacks such as authentication bypass, VC forgery, and privilege theft can unfold quickly. Directly tampering with on-chain data is difficult, but staging causes real damage through attacks on off-chain services and systems.</t>
        </is>
      </c>
      <c r="H72" s="16" t="inlineStr">
        <is>
          <t>If attack materials such as malware, scripts, and certificates are pre-positioned, they can cause damage such as large-scale infection, authentication bypass, and privilege theft.</t>
        </is>
      </c>
      <c r="I72" s="16" t="inlineStr">
        <is>
          <t>Owing to its on-chain trust structure, a DID system may see damage to the overall system dispersed even if materials are staged on some off-chain infrastructure. In centralized conventional systems, the damage is broader when staged materials are executed all at once.</t>
        </is>
      </c>
      <c r="J72" s="16" t="inlineStr">
        <is>
          <t>Real-time detection and administrator approval should be strengthened for anomalous behavior, such as placement of new files, scripts, and certificates and upload of unauthorized content, across all infrastructure of the DID/VC service (servers, collaboration tools, cloud, etc.). When attack materials are identified, proactive detection and post-incident response should be strengthened, for example through immediate isolation and linkage with on-chain records.</t>
        </is>
      </c>
      <c r="K72" s="16" t="n"/>
      <c r="L72" s="16" t="inlineStr">
        <is>
          <t>https://attack.mitre.org/techniques/T1608</t>
        </is>
      </c>
    </row>
    <row r="73" ht="113.4" customHeight="1" s="7">
      <c r="A73" s="16" t="inlineStr">
        <is>
          <t>Resource Development</t>
        </is>
      </c>
      <c r="B73" s="16" t="inlineStr">
        <is>
          <t>T1608</t>
        </is>
      </c>
      <c r="C73" s="16" t="inlineStr">
        <is>
          <t>Stage Capabilities</t>
        </is>
      </c>
      <c r="D73" s="16" t="inlineStr">
        <is>
          <t>T1608.003</t>
        </is>
      </c>
      <c r="E73" s="16" t="inlineStr">
        <is>
          <t>Install Digital Certificate</t>
        </is>
      </c>
      <c r="F73" s="16" t="inlineStr">
        <is>
          <t>Partial</t>
        </is>
      </c>
      <c r="G73" s="16" t="inlineStr">
        <is>
          <t>If an attacker pre-positions (stages) malicious VCs, tampering tools, automation scripts, certificates, etc. on infrastructure inside or outside the DID/VC system, attacks such as authentication bypass, VC forgery, and privilege theft can unfold quickly. Directly tampering with on-chain data is difficult, but staging causes real damage through attacks on off-chain services and systems.</t>
        </is>
      </c>
      <c r="H73" s="16" t="inlineStr">
        <is>
          <t>If attack materials such as malware, scripts, and certificates are pre-positioned, they can cause damage such as large-scale infection, authentication bypass, and privilege theft.</t>
        </is>
      </c>
      <c r="I73" s="16" t="inlineStr">
        <is>
          <t>Owing to its on-chain trust structure, a DID system may see damage to the overall system dispersed even if materials are staged on some off-chain infrastructure. In centralized conventional systems, the damage is broader when staged materials are executed all at once.</t>
        </is>
      </c>
      <c r="J73" s="16" t="inlineStr">
        <is>
          <t>Real-time detection and administrator approval should be strengthened for anomalous behavior, such as placement of new files, scripts, and certificates and upload of unauthorized content, across all infrastructure of the DID/VC service (servers, collaboration tools, cloud, etc.). When attack materials are identified, proactive detection and post-incident response should be strengthened, for example through immediate isolation and linkage with on-chain records.</t>
        </is>
      </c>
      <c r="K73" s="16" t="n"/>
      <c r="L73" s="16" t="inlineStr">
        <is>
          <t>https://attack.mitre.org/techniques/T1608</t>
        </is>
      </c>
    </row>
    <row r="74" ht="113.4" customHeight="1" s="7">
      <c r="A74" s="16" t="inlineStr">
        <is>
          <t>Resource Development</t>
        </is>
      </c>
      <c r="B74" s="16" t="inlineStr">
        <is>
          <t>T1608</t>
        </is>
      </c>
      <c r="C74" s="16" t="inlineStr">
        <is>
          <t>Stage Capabilities</t>
        </is>
      </c>
      <c r="D74" s="16" t="inlineStr">
        <is>
          <t>T1608.004</t>
        </is>
      </c>
      <c r="E74" s="16" t="inlineStr">
        <is>
          <t>Drive-by Target</t>
        </is>
      </c>
      <c r="F74" s="16" t="inlineStr">
        <is>
          <t>Partial</t>
        </is>
      </c>
      <c r="G74" s="16" t="inlineStr">
        <is>
          <t>If an attacker pre-positions (stages) malicious VCs, tampering tools, automation scripts, certificates, etc. on infrastructure inside or outside the DID/VC system, attacks such as authentication bypass, VC forgery, and privilege theft can unfold quickly. Directly tampering with on-chain data is difficult, but staging causes real damage through attacks on off-chain services and systems.</t>
        </is>
      </c>
      <c r="H74" s="16" t="inlineStr">
        <is>
          <t>If attack materials such as malware, scripts, and certificates are pre-positioned, they can cause damage such as large-scale infection, authentication bypass, and privilege theft.</t>
        </is>
      </c>
      <c r="I74" s="16" t="inlineStr">
        <is>
          <t>Owing to its on-chain trust structure, a DID system may see damage to the overall system dispersed even if materials are staged on some off-chain infrastructure. In centralized conventional systems, the damage is broader when staged materials are executed all at once.</t>
        </is>
      </c>
      <c r="J74" s="16" t="inlineStr">
        <is>
          <t>Real-time detection and administrator approval should be strengthened for anomalous behavior, such as placement of new files, scripts, and certificates and upload of unauthorized content, across all infrastructure of the DID/VC service (servers, collaboration tools, cloud, etc.). When attack materials are identified, proactive detection and post-incident response should be strengthened, for example through immediate isolation and linkage with on-chain records.</t>
        </is>
      </c>
      <c r="K74" s="16" t="n"/>
      <c r="L74" s="16" t="inlineStr">
        <is>
          <t>https://attack.mitre.org/techniques/T1608</t>
        </is>
      </c>
    </row>
    <row r="75" ht="113.4" customHeight="1" s="7">
      <c r="A75" s="16" t="inlineStr">
        <is>
          <t>Resource Development</t>
        </is>
      </c>
      <c r="B75" s="16" t="inlineStr">
        <is>
          <t>T1608</t>
        </is>
      </c>
      <c r="C75" s="16" t="inlineStr">
        <is>
          <t>Stage Capabilities</t>
        </is>
      </c>
      <c r="D75" s="16" t="inlineStr">
        <is>
          <t>T1608.005</t>
        </is>
      </c>
      <c r="E75" s="16" t="inlineStr">
        <is>
          <t>Link Target</t>
        </is>
      </c>
      <c r="F75" s="16" t="inlineStr">
        <is>
          <t>Partial</t>
        </is>
      </c>
      <c r="G75" s="16" t="inlineStr">
        <is>
          <t>If an attacker pre-positions (stages) malicious VCs, tampering tools, automation scripts, certificates, etc. on infrastructure inside or outside the DID/VC system, attacks such as authentication bypass, VC forgery, and privilege theft can unfold quickly. Directly tampering with on-chain data is difficult, but staging causes real damage through attacks on off-chain services and systems.</t>
        </is>
      </c>
      <c r="H75" s="16" t="inlineStr">
        <is>
          <t>If attack materials such as malware, scripts, and certificates are pre-positioned, they can cause damage such as large-scale infection, authentication bypass, and privilege theft.</t>
        </is>
      </c>
      <c r="I75" s="16" t="inlineStr">
        <is>
          <t>Owing to its on-chain trust structure, a DID system may see damage to the overall system dispersed even if materials are staged on some off-chain infrastructure. In centralized conventional systems, the damage is broader when staged materials are executed all at once.</t>
        </is>
      </c>
      <c r="J75" s="16" t="inlineStr">
        <is>
          <t>Real-time detection and administrator approval should be strengthened for anomalous behavior, such as placement of new files, scripts, and certificates and upload of unauthorized content, across all infrastructure of the DID/VC service (servers, collaboration tools, cloud, etc.). When attack materials are identified, proactive detection and post-incident response should be strengthened, for example through immediate isolation and linkage with on-chain records.</t>
        </is>
      </c>
      <c r="K75" s="16" t="n"/>
      <c r="L75" s="16" t="inlineStr">
        <is>
          <t>https://attack.mitre.org/techniques/T1608</t>
        </is>
      </c>
    </row>
    <row r="76" ht="113.4" customHeight="1" s="7">
      <c r="A76" s="16" t="inlineStr">
        <is>
          <t>Resource Development</t>
        </is>
      </c>
      <c r="B76" s="16" t="inlineStr">
        <is>
          <t>T1608</t>
        </is>
      </c>
      <c r="C76" s="16" t="inlineStr">
        <is>
          <t>Stage Capabilities</t>
        </is>
      </c>
      <c r="D76" s="16" t="inlineStr">
        <is>
          <t>T1608.006</t>
        </is>
      </c>
      <c r="E76" s="16" t="inlineStr">
        <is>
          <t>SEO Poisoning</t>
        </is>
      </c>
      <c r="F76" s="16" t="inlineStr">
        <is>
          <t>Partial</t>
        </is>
      </c>
      <c r="G76" s="16" t="inlineStr">
        <is>
          <t>If an attacker pre-positions (stages) malicious VCs, tampering tools, automation scripts, certificates, etc. on infrastructure inside or outside the DID/VC system, attacks such as authentication bypass, VC forgery, and privilege theft can unfold quickly. Directly tampering with on-chain data is difficult, but staging causes real damage through attacks on off-chain services and systems.</t>
        </is>
      </c>
      <c r="H76" s="16" t="inlineStr">
        <is>
          <t>If attack materials such as malware, scripts, and certificates are pre-positioned, they can cause damage such as large-scale infection, authentication bypass, and privilege theft.</t>
        </is>
      </c>
      <c r="I76" s="16" t="inlineStr">
        <is>
          <t>Owing to its on-chain trust structure, a DID system may see damage to the overall system dispersed even if materials are staged on some off-chain infrastructure. In centralized conventional systems, the damage is broader when staged materials are executed all at once.</t>
        </is>
      </c>
      <c r="J76" s="16" t="inlineStr">
        <is>
          <t>Real-time detection and administrator approval should be strengthened for anomalous behavior, such as placement of new files, scripts, and certificates and upload of unauthorized content, across all infrastructure of the DID/VC service (servers, collaboration tools, cloud, etc.). When attack materials are identified, proactive detection and post-incident response should be strengthened, for example through immediate isolation and linkage with on-chain records.</t>
        </is>
      </c>
      <c r="K76" s="16" t="n"/>
      <c r="L76" s="16" t="inlineStr">
        <is>
          <t>https://attack.mitre.org/techniques/T1608</t>
        </is>
      </c>
    </row>
    <row r="77" ht="79.84999999999999" customHeight="1" s="7">
      <c r="A77" s="16" t="inlineStr">
        <is>
          <t>Initial Access</t>
        </is>
      </c>
      <c r="B77" s="16" t="inlineStr">
        <is>
          <t>T1659</t>
        </is>
      </c>
      <c r="C77" s="16" t="inlineStr">
        <is>
          <t>Content Injection</t>
        </is>
      </c>
      <c r="D77" s="16" t="n"/>
      <c r="E77" s="16" t="n"/>
      <c r="F77" s="16" t="inlineStr">
        <is>
          <t>Partial</t>
        </is>
      </c>
      <c r="G77" s="16" t="inlineStr">
        <is>
          <t>Can occur in the web interfaces or API communications of a DID system; content injection attacks are possible during the transmission of VCs (Verifiable Credentials); communication-channel security is important in distributed environments.</t>
        </is>
      </c>
      <c r="H77" s="16" t="inlineStr">
        <is>
          <t>The mechanism of injecting malicious content into network communications is the same; the way communication-protocol vulnerabilities are exploited is similar.</t>
        </is>
      </c>
      <c r="I77" s="16" t="inlineStr">
        <is>
          <t>In DID, structured data in JSON-LD form can be injected; malicious metadata can be injected through blockchain transactions; content verification mechanisms differ in distributed networks.</t>
        </is>
      </c>
      <c r="J77" s="16" t="inlineStr">
        <is>
          <t>Extend network traffic injection to the injection of malicious content into DID Document and VC structures: detect malicious scripts in the serviceEndpoint field of DID Documents; add logic to inspect VC JSON-LD structures for XSS payloads; verify the integrity of DID/VC metadata in on-chain event logs.</t>
        </is>
      </c>
      <c r="K77" s="16" t="n"/>
      <c r="L77" s="16" t="inlineStr">
        <is>
          <t>https://attack.mitre.org/techniques/T1659</t>
        </is>
      </c>
    </row>
    <row r="78" ht="68.65000000000001" customHeight="1" s="7">
      <c r="A78" s="16" t="inlineStr">
        <is>
          <t>Initial Access</t>
        </is>
      </c>
      <c r="B78" s="16" t="inlineStr">
        <is>
          <t>T1189</t>
        </is>
      </c>
      <c r="C78" s="16" t="inlineStr">
        <is>
          <t>Drive-by Compromise</t>
        </is>
      </c>
      <c r="D78" s="16" t="n"/>
      <c r="E78" s="16" t="n"/>
      <c r="F78" s="16" t="inlineStr">
        <is>
          <t>Partial</t>
        </is>
      </c>
      <c r="G78" s="16" t="inlineStr">
        <is>
          <t>Applicable when the DID wallet or authentication application is web-based; can occur during browser-based DID authentication; exposure risk when using web-based DID services.</t>
        </is>
      </c>
      <c r="H78" s="16" t="inlineStr">
        <is>
          <t>The way browser vulnerabilities are exploited is the same; can execute automatically without user interaction; the infection path via malicious sites is similar.</t>
        </is>
      </c>
      <c r="I78" s="16" t="inlineStr">
        <is>
          <t>Aims to steal DID wallet private keys; theft of blockchain connection information and authentication tokens; attempts to gain access rights to the distributed network.</t>
        </is>
      </c>
      <c r="J78" s="16" t="inlineStr">
        <is>
          <t>Extend browser-based attacks to DID wallets and VC management applications: add logic for private key theft from web-based DID wallets; detect device-fingerprint changes for VC store theft; detect malicious redirection in QR-code-based DID authentication.</t>
        </is>
      </c>
      <c r="K78" s="16" t="n"/>
      <c r="L78" s="16" t="inlineStr">
        <is>
          <t>https://attack.mitre.org/techniques/T1189</t>
        </is>
      </c>
    </row>
    <row r="79" ht="79.84999999999999" customHeight="1" s="7">
      <c r="A79" s="16" t="inlineStr">
        <is>
          <t>Initial Access</t>
        </is>
      </c>
      <c r="B79" s="16" t="inlineStr">
        <is>
          <t>T1190</t>
        </is>
      </c>
      <c r="C79" s="16" t="inlineStr">
        <is>
          <t>Exploit Public-Facing Application</t>
        </is>
      </c>
      <c r="D79" s="16" t="n"/>
      <c r="E79" s="16" t="n"/>
      <c r="F79" s="16" t="inlineStr">
        <is>
          <t>Full</t>
        </is>
      </c>
      <c r="G79" s="16" t="inlineStr">
        <is>
          <t>Vulnerabilities in DID service providers' web applications can be exploited; public DID resolver services can be attacked; public interfaces of blockchain nodes can be attacked.</t>
        </is>
      </c>
      <c r="H79" s="16" t="inlineStr">
        <is>
          <t>The exploitation of public-facing application vulnerabilities is the same; targets common infrastructure such as web servers and databases; uses known CVE vulnerabilities.</t>
        </is>
      </c>
      <c r="I79" s="16" t="inlineStr">
        <is>
          <t>Attacks specific to DID resolver services; attacks on blockchain RPC endpoints; exploitation of DID authentication service API vulnerabilities.</t>
        </is>
      </c>
      <c r="J79" s="16" t="inlineStr">
        <is>
          <t>Extend public-facing application attacks to DID infrastructure services: detect exploitation of DID Universal Resolver API vulnerabilities; add attack patterns against the Credential Status API service; detect attacks on blockchain node RPC interfaces; monitor Schema Fetching service vulnerabilities.</t>
        </is>
      </c>
      <c r="K79" s="16" t="n"/>
      <c r="L79" s="16" t="inlineStr">
        <is>
          <t>https://attack.mitre.org/techniques/T1190</t>
        </is>
      </c>
    </row>
    <row r="80" ht="57.45" customHeight="1" s="7">
      <c r="A80" s="16" t="inlineStr">
        <is>
          <t>Initial Access</t>
        </is>
      </c>
      <c r="B80" s="16" t="inlineStr">
        <is>
          <t>T1133</t>
        </is>
      </c>
      <c r="C80" s="16" t="inlineStr">
        <is>
          <t>External Remote Services</t>
        </is>
      </c>
      <c r="D80" s="16" t="n"/>
      <c r="E80" s="16" t="n"/>
      <c r="F80" s="16" t="inlineStr">
        <is>
          <t>Partial</t>
        </is>
      </c>
      <c r="G80" s="16" t="inlineStr">
        <is>
          <t>Applicable to DID-based SSO (Single Sign-On) systems; access is possible through remote DID authentication services; applies when cloud-based DID services are used.</t>
        </is>
      </c>
      <c r="H80" s="16" t="inlineStr">
        <is>
          <t>Uses external access services such as VPN and remote desktop; hard to detect because access is through legitimate authentication; persistent access can be maintained.</t>
        </is>
      </c>
      <c r="I80" s="16" t="inlineStr">
        <is>
          <t>Remote access via DID-based authentication; access management in distributed authentication systems; blockchain-based verification of access rights.</t>
        </is>
      </c>
      <c r="J80" s="16" t="inlineStr">
        <is>
          <t>Extend external remote services to DID-based authentication systems: detect use of stolen DIDs in DID-based SSO systems; monitor abuse of VC-based remote access rights; analyze multi-service access patterns via DID linkage attacks.</t>
        </is>
      </c>
      <c r="K80" s="16" t="n"/>
      <c r="L80" s="16" t="inlineStr">
        <is>
          <t>https://attack.mitre.org/techniques/T1133</t>
        </is>
      </c>
    </row>
    <row r="81" ht="57.45" customHeight="1" s="7">
      <c r="A81" s="16" t="inlineStr">
        <is>
          <t>Initial Access</t>
        </is>
      </c>
      <c r="B81" s="16" t="inlineStr">
        <is>
          <t>T1200</t>
        </is>
      </c>
      <c r="C81" s="16" t="inlineStr">
        <is>
          <t>Hardware Additions</t>
        </is>
      </c>
      <c r="D81" s="16" t="n"/>
      <c r="E81" s="16" t="n"/>
      <c r="F81" s="16" t="inlineStr">
        <is>
          <t>Partial</t>
        </is>
      </c>
      <c r="G81" s="16" t="inlineStr">
        <is>
          <t>DID systems depend on physical devices such as hardware wallets and mobile devices; private keys and VCs can be stolen through hardware manipulation; the difference is that whereas the goal of the conventional attack is "system control", in DID the goal becomes "identity theft".</t>
        </is>
      </c>
      <c r="H81" s="16" t="inlineStr">
        <is>
          <t>Attacks through physical hardware access; security threats can arise when untrusted devices are connected; attacks are carried out without user awareness; interfaces such as USB and NFC are abused.</t>
        </is>
      </c>
      <c r="I81" s="16" t="inlineStr">
        <is>
          <t>Conventional: network access, system control, persistence; DID: private key theft, VC misuse, identity authentication bypass.</t>
        </is>
      </c>
      <c r="J81" s="16" t="inlineStr">
        <is>
          <t>Change network access to DID key/VC access; change the attack target from enterprise systems to personal wallets/hardware wallets; change system backdoors to DID key cloning/backup.</t>
        </is>
      </c>
      <c r="K81" s="16" t="n"/>
      <c r="L81" s="16" t="inlineStr">
        <is>
          <t>https://attack.mitre.org/techniques/T1200</t>
        </is>
      </c>
    </row>
    <row r="82" ht="68.65000000000001" customHeight="1" s="7">
      <c r="A82" s="16" t="inlineStr">
        <is>
          <t>Initial Access</t>
        </is>
      </c>
      <c r="B82" s="16" t="inlineStr">
        <is>
          <t>T1566</t>
        </is>
      </c>
      <c r="C82" s="16" t="inlineStr">
        <is>
          <t>Phishing</t>
        </is>
      </c>
      <c r="D82" s="16" t="n"/>
      <c r="E82" s="16" t="n"/>
      <c r="F82" s="16" t="inlineStr">
        <is>
          <t>Full</t>
        </is>
      </c>
      <c r="G82" s="16" t="inlineStr">
        <is>
          <t>Theft of DID-related credentials is the main goal; private keys or wallet information are collected through phishing; phishing attacks are possible during DID service sign-up.</t>
        </is>
      </c>
      <c r="H82" s="16" t="inlineStr">
        <is>
          <t>Email-based social engineering attacks; credential theft through user interaction; infection through malicious links or attachments.</t>
        </is>
      </c>
      <c r="I82" s="16" t="inlineStr">
        <is>
          <t>Theft of DID-related credentials (private key, mnemonic phrase); luring users to fake DID service sites; collection of blockchain wallet information.</t>
        </is>
      </c>
      <c r="J82" s="16" t="inlineStr">
        <is>
          <t>Extend email phishing to social engineering attacks across the DID ecosystem: add phishing scenarios disguised as VC backup/recovery; detect VC-harvesting attacks via fake Verifier requests; analyze phishing patterns linked with brute-force VC presentation attempts.</t>
        </is>
      </c>
      <c r="K82" s="16" t="n"/>
      <c r="L82" s="16" t="inlineStr">
        <is>
          <t>https://attack.mitre.org/techniques/T1566</t>
        </is>
      </c>
    </row>
    <row r="83" ht="46.25" customHeight="1" s="7">
      <c r="A83" s="16" t="inlineStr">
        <is>
          <t>Initial Access</t>
        </is>
      </c>
      <c r="B83" s="16" t="inlineStr">
        <is>
          <t>T1566</t>
        </is>
      </c>
      <c r="C83" s="16" t="inlineStr">
        <is>
          <t>Phishing</t>
        </is>
      </c>
      <c r="D83" s="16" t="inlineStr">
        <is>
          <t>T1566.001</t>
        </is>
      </c>
      <c r="E83" s="16" t="inlineStr">
        <is>
          <t>Spearphishing Attachment</t>
        </is>
      </c>
      <c r="F83" s="16" t="inlineStr">
        <is>
          <t>Full</t>
        </is>
      </c>
      <c r="G83" s="16" t="inlineStr">
        <is>
          <t>Theft of DID-related credentials is the main goal; private keys or wallet information are collected through phishing; phishing attacks are possible during DID service sign-up.</t>
        </is>
      </c>
      <c r="H83" s="16" t="inlineStr">
        <is>
          <t>Email-based social engineering attacks; credential theft through user interaction; infection through malicious links or attachments.</t>
        </is>
      </c>
      <c r="I83" s="16" t="inlineStr">
        <is>
          <t>Theft of DID-related credentials (private key, mnemonic phrase); luring users to fake DID service sites; collection of blockchain wallet information.</t>
        </is>
      </c>
      <c r="J83" s="16" t="inlineStr">
        <is>
          <t>Attaching a malicious DID wallet installation file.</t>
        </is>
      </c>
      <c r="K83" s="16" t="n"/>
      <c r="L83" s="16" t="inlineStr">
        <is>
          <t>https://attack.mitre.org/techniques/T1566</t>
        </is>
      </c>
    </row>
    <row r="84" ht="46.25" customHeight="1" s="7">
      <c r="A84" s="16" t="inlineStr">
        <is>
          <t>Initial Access</t>
        </is>
      </c>
      <c r="B84" s="16" t="inlineStr">
        <is>
          <t>T1566</t>
        </is>
      </c>
      <c r="C84" s="16" t="inlineStr">
        <is>
          <t>Phishing</t>
        </is>
      </c>
      <c r="D84" s="16" t="inlineStr">
        <is>
          <t>T1566.002</t>
        </is>
      </c>
      <c r="E84" s="16" t="inlineStr">
        <is>
          <t>Spearphishing Link</t>
        </is>
      </c>
      <c r="F84" s="16" t="inlineStr">
        <is>
          <t>Full</t>
        </is>
      </c>
      <c r="G84" s="16" t="inlineStr">
        <is>
          <t>Theft of DID-related credentials is the main goal; private keys or wallet information are collected through phishing; phishing attacks are possible during DID service sign-up.</t>
        </is>
      </c>
      <c r="H84" s="16" t="inlineStr">
        <is>
          <t>Email-based social engineering attacks; credential theft through user interaction; infection through malicious links or attachments.</t>
        </is>
      </c>
      <c r="I84" s="16" t="inlineStr">
        <is>
          <t>Theft of DID-related credentials (private key, mnemonic phrase); luring users to fake DID service sites; collection of blockchain wallet information.</t>
        </is>
      </c>
      <c r="J84" s="16" t="inlineStr">
        <is>
          <t>Providing links to fake DID service sites.</t>
        </is>
      </c>
      <c r="K84" s="16" t="n"/>
      <c r="L84" s="16" t="inlineStr">
        <is>
          <t>https://attack.mitre.org/techniques/T1566</t>
        </is>
      </c>
    </row>
    <row r="85" ht="46.25" customHeight="1" s="7">
      <c r="A85" s="16" t="inlineStr">
        <is>
          <t>Initial Access</t>
        </is>
      </c>
      <c r="B85" s="16" t="inlineStr">
        <is>
          <t>T1566</t>
        </is>
      </c>
      <c r="C85" s="16" t="inlineStr">
        <is>
          <t>Phishing</t>
        </is>
      </c>
      <c r="D85" s="16" t="inlineStr">
        <is>
          <t>T1566.003</t>
        </is>
      </c>
      <c r="E85" s="16" t="inlineStr">
        <is>
          <t>Spearphishing via Service</t>
        </is>
      </c>
      <c r="F85" s="16" t="inlineStr">
        <is>
          <t>Full</t>
        </is>
      </c>
      <c r="G85" s="16" t="inlineStr">
        <is>
          <t>Theft of DID-related credentials is the main goal; private keys or wallet information are collected through phishing; phishing attacks are possible during DID service sign-up.</t>
        </is>
      </c>
      <c r="H85" s="16" t="inlineStr">
        <is>
          <t>Email-based social engineering attacks; credential theft through user interaction; infection through malicious links or attachments.</t>
        </is>
      </c>
      <c r="I85" s="16" t="inlineStr">
        <is>
          <t>Theft of DID-related credentials (private key, mnemonic phrase); luring users to fake DID service sites; collection of blockchain wallet information.</t>
        </is>
      </c>
      <c r="J85" s="16" t="inlineStr">
        <is>
          <t>DID-related phishing via social media or messengers.</t>
        </is>
      </c>
      <c r="K85" s="16" t="n"/>
      <c r="L85" s="16" t="inlineStr">
        <is>
          <t>https://attack.mitre.org/techniques/T1566</t>
        </is>
      </c>
    </row>
    <row r="86" ht="46.25" customHeight="1" s="7">
      <c r="A86" s="16" t="inlineStr">
        <is>
          <t>Initial Access</t>
        </is>
      </c>
      <c r="B86" s="16" t="inlineStr">
        <is>
          <t>T1566</t>
        </is>
      </c>
      <c r="C86" s="16" t="inlineStr">
        <is>
          <t>Phishing</t>
        </is>
      </c>
      <c r="D86" s="16" t="inlineStr">
        <is>
          <t>T1566.004</t>
        </is>
      </c>
      <c r="E86" s="16" t="inlineStr">
        <is>
          <t>Spearphishing Voice</t>
        </is>
      </c>
      <c r="F86" s="16" t="inlineStr">
        <is>
          <t>Full</t>
        </is>
      </c>
      <c r="G86" s="16" t="inlineStr">
        <is>
          <t>Theft of DID-related credentials is the main goal; private keys or wallet information are collected through phishing; phishing attacks are possible during DID service sign-up.</t>
        </is>
      </c>
      <c r="H86" s="16" t="inlineStr">
        <is>
          <t>Email-based social engineering attacks; credential theft through user interaction; infection through malicious links or attachments.</t>
        </is>
      </c>
      <c r="I86" s="16" t="inlineStr">
        <is>
          <t>Theft of DID-related credentials (private key, mnemonic phrase); luring users to fake DID service sites; collection of blockchain wallet information.</t>
        </is>
      </c>
      <c r="J86" s="16" t="inlineStr">
        <is>
          <t>Collecting DID-related information by telephone.</t>
        </is>
      </c>
      <c r="K86" s="16" t="n"/>
      <c r="L86" s="16" t="inlineStr">
        <is>
          <t>https://attack.mitre.org/techniques/T1566</t>
        </is>
      </c>
    </row>
    <row r="87" ht="57.45" customHeight="1" s="7">
      <c r="A87" s="16" t="inlineStr">
        <is>
          <t>Initial Access</t>
        </is>
      </c>
      <c r="B87" s="16" t="inlineStr">
        <is>
          <t>T1091</t>
        </is>
      </c>
      <c r="C87" s="16" t="inlineStr">
        <is>
          <t>Replication Through Removable Media</t>
        </is>
      </c>
      <c r="D87" s="16" t="n"/>
      <c r="E87" s="16" t="n"/>
      <c r="F87" s="16" t="inlineStr">
        <is>
          <t>Partial</t>
        </is>
      </c>
      <c r="G87" s="16" t="inlineStr">
        <is>
          <t>DID keys and VCs tend to be backed up and moved via removable media; credentials can be replicated via physical media.</t>
        </is>
      </c>
      <c r="H87" s="16" t="inlineStr">
        <is>
          <t>Removable storage devices are used as an attack vector; information can be stolen through physical access; autorun functions can be abused; air-gapped systems can be attacked.</t>
        </is>
      </c>
      <c r="I87" s="16" t="inlineStr">
        <is>
          <t>Conventional: malware execution, system infection, network propagation; DID: replication of key/VC files, credential misuse, use across multiple devices.</t>
        </is>
      </c>
      <c r="J87" s="16" t="inlineStr">
        <is>
          <t>Whereas the conventional technique propagates malware, here DID key/VC files are propagated; autorun malware becomes unauthorized access to backup files; system infection becomes identity replication.</t>
        </is>
      </c>
      <c r="K87" s="16" t="n"/>
      <c r="L87" s="16" t="inlineStr">
        <is>
          <t>https://attack.mitre.org/techniques/T1091</t>
        </is>
      </c>
    </row>
    <row r="88" ht="79.84999999999999" customHeight="1" s="7">
      <c r="A88" s="16" t="inlineStr">
        <is>
          <t>Initial Access</t>
        </is>
      </c>
      <c r="B88" s="16" t="inlineStr">
        <is>
          <t>T1195</t>
        </is>
      </c>
      <c r="C88" s="16" t="inlineStr">
        <is>
          <t>Supply Chain Compromise</t>
        </is>
      </c>
      <c r="D88" s="16" t="n"/>
      <c r="E88" s="16" t="n"/>
      <c r="F88" s="16" t="inlineStr">
        <is>
          <t>Full</t>
        </is>
      </c>
      <c r="G88" s="16" t="inlineStr">
        <is>
          <t>Supply chain attacks are possible during DID wallet software development; open-source DID libraries can be manipulated; supply chain attacks during hardware wallet manufacturing.</t>
        </is>
      </c>
      <c r="H88" s="16" t="inlineStr">
        <is>
          <t>Manipulation of development tools or libraries; abuse of legitimate software update processes; manipulation during hardware manufacturing.</t>
        </is>
      </c>
      <c r="I88" s="16" t="inlineStr">
        <is>
          <t>Manipulation of DID-related cryptographic libraries; supply chain attacks on blockchain client software; supply chain manipulation of hardware wallet firmware.</t>
        </is>
      </c>
      <c r="J88" s="16" t="inlineStr">
        <is>
          <t>Extend the software supply chain to the entire DID ecosystem: detect attacks on DID wallet software development toolchains; strengthen integrity verification of open-source DID libraries; monitor supply chain security of hardware wallet firmware; detect manipulation of DID Schema and Context repositories.</t>
        </is>
      </c>
      <c r="K88" s="16" t="n"/>
      <c r="L88" s="16" t="inlineStr">
        <is>
          <t>https://attack.mitre.org/techniques/T1195</t>
        </is>
      </c>
    </row>
    <row r="89" ht="46.25" customHeight="1" s="7">
      <c r="A89" s="16" t="inlineStr">
        <is>
          <t>Initial Access</t>
        </is>
      </c>
      <c r="B89" s="16" t="inlineStr">
        <is>
          <t>T1195</t>
        </is>
      </c>
      <c r="C89" s="16" t="inlineStr">
        <is>
          <t>Supply Chain Compromise</t>
        </is>
      </c>
      <c r="D89" s="16" t="inlineStr">
        <is>
          <t>T1195.001</t>
        </is>
      </c>
      <c r="E89" s="16" t="inlineStr">
        <is>
          <t>Compromise Software Dependencies and Development Tools</t>
        </is>
      </c>
      <c r="F89" s="16" t="inlineStr">
        <is>
          <t>Full</t>
        </is>
      </c>
      <c r="G89" s="16" t="inlineStr">
        <is>
          <t>Supply chain attacks are possible during DID wallet software development; open-source DID libraries can be manipulated; supply chain attacks during hardware wallet manufacturing.</t>
        </is>
      </c>
      <c r="H89" s="16" t="inlineStr">
        <is>
          <t>Manipulation of development tools or libraries; abuse of legitimate software update processes; manipulation during hardware manufacturing.</t>
        </is>
      </c>
      <c r="I89" s="16" t="inlineStr">
        <is>
          <t>Manipulation of DID-related cryptographic libraries; supply chain attacks on blockchain client software; supply chain manipulation of hardware wallet firmware.</t>
        </is>
      </c>
      <c r="J89" s="16" t="inlineStr">
        <is>
          <t>Manipulation of DID development tools or dependency libraries.</t>
        </is>
      </c>
      <c r="K89" s="16" t="n"/>
      <c r="L89" s="16" t="inlineStr">
        <is>
          <t>https://attack.mitre.org/techniques/T1195</t>
        </is>
      </c>
    </row>
    <row r="90" ht="46.25" customHeight="1" s="7">
      <c r="A90" s="16" t="inlineStr">
        <is>
          <t>Initial Access</t>
        </is>
      </c>
      <c r="B90" s="16" t="inlineStr">
        <is>
          <t>T1195</t>
        </is>
      </c>
      <c r="C90" s="16" t="inlineStr">
        <is>
          <t>Supply Chain Compromise</t>
        </is>
      </c>
      <c r="D90" s="16" t="inlineStr">
        <is>
          <t>T1195.002</t>
        </is>
      </c>
      <c r="E90" s="16" t="inlineStr">
        <is>
          <t>Compromise Software Supply Chain</t>
        </is>
      </c>
      <c r="F90" s="16" t="inlineStr">
        <is>
          <t>Full</t>
        </is>
      </c>
      <c r="G90" s="16" t="inlineStr">
        <is>
          <t>Supply chain attacks are possible during DID wallet software development; open-source DID libraries can be manipulated; supply chain attacks during hardware wallet manufacturing.</t>
        </is>
      </c>
      <c r="H90" s="16" t="inlineStr">
        <is>
          <t>Manipulation of development tools or libraries; abuse of legitimate software update processes; manipulation during hardware manufacturing.</t>
        </is>
      </c>
      <c r="I90" s="16" t="inlineStr">
        <is>
          <t>Manipulation of DID-related cryptographic libraries; supply chain attacks on blockchain client software; supply chain manipulation of hardware wallet firmware.</t>
        </is>
      </c>
      <c r="J90" s="16" t="inlineStr">
        <is>
          <t>Manipulation of the DID wallet software distribution process.</t>
        </is>
      </c>
      <c r="K90" s="16" t="n"/>
      <c r="L90" s="16" t="inlineStr">
        <is>
          <t>https://attack.mitre.org/techniques/T1195</t>
        </is>
      </c>
    </row>
    <row r="91" ht="46.25" customHeight="1" s="7">
      <c r="A91" s="16" t="inlineStr">
        <is>
          <t>Initial Access</t>
        </is>
      </c>
      <c r="B91" s="16" t="inlineStr">
        <is>
          <t>T1195</t>
        </is>
      </c>
      <c r="C91" s="16" t="inlineStr">
        <is>
          <t>Supply Chain Compromise</t>
        </is>
      </c>
      <c r="D91" s="16" t="inlineStr">
        <is>
          <t>T1195.003</t>
        </is>
      </c>
      <c r="E91" s="16" t="inlineStr">
        <is>
          <t>Compromise Hardware Supply Chain</t>
        </is>
      </c>
      <c r="F91" s="16" t="inlineStr">
        <is>
          <t>Full</t>
        </is>
      </c>
      <c r="G91" s="16" t="inlineStr">
        <is>
          <t>Supply chain attacks are possible during DID wallet software development; open-source DID libraries can be manipulated; supply chain attacks during hardware wallet manufacturing.</t>
        </is>
      </c>
      <c r="H91" s="16" t="inlineStr">
        <is>
          <t>Manipulation of development tools or libraries; abuse of legitimate software update processes; manipulation during hardware manufacturing.</t>
        </is>
      </c>
      <c r="I91" s="16" t="inlineStr">
        <is>
          <t>Manipulation of DID-related cryptographic libraries; supply chain attacks on blockchain client software; supply chain manipulation of hardware wallet firmware.</t>
        </is>
      </c>
      <c r="J91" s="16" t="inlineStr">
        <is>
          <t>Manipulation of the hardware wallet manufacturing process.</t>
        </is>
      </c>
      <c r="K91" s="16" t="n"/>
      <c r="L91" s="16" t="inlineStr">
        <is>
          <t>https://attack.mitre.org/techniques/T1195</t>
        </is>
      </c>
    </row>
    <row r="92" ht="68.65000000000001" customHeight="1" s="7">
      <c r="A92" s="16" t="inlineStr">
        <is>
          <t>Initial Access</t>
        </is>
      </c>
      <c r="B92" s="16" t="inlineStr">
        <is>
          <t>T1199</t>
        </is>
      </c>
      <c r="C92" s="16" t="inlineStr">
        <is>
          <t>Trusted Relationship</t>
        </is>
      </c>
      <c r="D92" s="16" t="n"/>
      <c r="E92" s="16" t="n"/>
      <c r="F92" s="16" t="inlineStr">
        <is>
          <t>Full</t>
        </is>
      </c>
      <c r="G92" s="16" t="inlineStr">
        <is>
          <t>The DID ecosystem is built on trust relationships; trust relationships between Issuers and Verifiers can be abused; trust relationships can be abused in integration with federated identity systems.</t>
        </is>
      </c>
      <c r="H92" s="16" t="inlineStr">
        <is>
          <t>Abuse of trust relationships with third-party service providers; attacks on partner accounts with legitimate access rights; lateral attacks through existing trust relationships.</t>
        </is>
      </c>
      <c r="I92" s="16" t="inlineStr">
        <is>
          <t>Attacks via theft of DID Issuer privileges; impersonating a trusted Verifier; attacks on trusted nodes within the blockchain network.</t>
        </is>
      </c>
      <c r="J92" s="16" t="inlineStr">
        <is>
          <t>Extend trust relationships to the trust chain of the DID ecosystem: detect abuse of Issuer–Verifier trust relationships; monitor attacks on trust bridges between federated identity systems; detect malicious activity within DID delegation chains.</t>
        </is>
      </c>
      <c r="K92" s="16" t="n"/>
      <c r="L92" s="16" t="inlineStr">
        <is>
          <t>https://attack.mitre.org/techniques/T1199</t>
        </is>
      </c>
    </row>
    <row r="93" ht="79.84999999999999" customHeight="1" s="7">
      <c r="A93" s="16" t="inlineStr">
        <is>
          <t>Initial Access</t>
        </is>
      </c>
      <c r="B93" s="16" t="inlineStr">
        <is>
          <t>T1078</t>
        </is>
      </c>
      <c r="C93" s="16" t="inlineStr">
        <is>
          <t>Valid Accounts</t>
        </is>
      </c>
      <c r="D93" s="16" t="inlineStr">
        <is>
          <t>T1078.001</t>
        </is>
      </c>
      <c r="E93" s="16" t="inlineStr">
        <is>
          <t>Default Accounts</t>
        </is>
      </c>
      <c r="F93" s="16" t="inlineStr">
        <is>
          <t>Full</t>
        </is>
      </c>
      <c r="G93" s="16" t="inlineStr">
        <is>
          <t>DID itself is a digital identity and account system; stealing a private key gives complete control over the identity; account management has distinctive characteristics in distributed environments.</t>
        </is>
      </c>
      <c r="H93" s="16" t="inlineStr">
        <is>
          <t>Access through legitimate credentials; use of existing access rights and privilege escalation; maintenance of persistent access.</t>
        </is>
      </c>
      <c r="I93" s="16" t="inlineStr">
        <is>
          <t>Private-key-based authentication system; risk of unrecoverable account takeover; accounts are hard to trace in distributed environments.</t>
        </is>
      </c>
      <c r="J93" s="16" t="inlineStr">
        <is>
          <t>Extend traditional accounts to DID-based identity systems: define attacks that gain complete DID control through private key theft; detect multi-service access patterns after VC wallet theft; monitor privacy violations via DID linkage attacks; attacks on DID accounts with default settings.</t>
        </is>
      </c>
      <c r="K93" s="16" t="n"/>
      <c r="L93" s="16" t="inlineStr">
        <is>
          <t>https://attack.mitre.org/techniques/T1078</t>
        </is>
      </c>
    </row>
    <row r="94" ht="35.05" customHeight="1" s="7">
      <c r="A94" s="16" t="inlineStr">
        <is>
          <t>Initial Access</t>
        </is>
      </c>
      <c r="B94" s="16" t="inlineStr">
        <is>
          <t>T1078</t>
        </is>
      </c>
      <c r="C94" s="16" t="inlineStr">
        <is>
          <t>Valid Accounts</t>
        </is>
      </c>
      <c r="D94" s="16" t="inlineStr">
        <is>
          <t>T1078.002</t>
        </is>
      </c>
      <c r="E94" s="16" t="inlineStr">
        <is>
          <t>Domain Accounts</t>
        </is>
      </c>
      <c r="F94" s="16" t="inlineStr">
        <is>
          <t>Full</t>
        </is>
      </c>
      <c r="G94" s="16" t="inlineStr">
        <is>
          <t>DID itself is a digital identity and account system; stealing a private key gives complete control over the identity; account management has distinctive characteristics in distributed environments.</t>
        </is>
      </c>
      <c r="H94" s="16" t="inlineStr">
        <is>
          <t>Access through legitimate credentials; use of existing access rights and privilege escalation; maintenance of persistent access.</t>
        </is>
      </c>
      <c r="I94" s="16" t="inlineStr">
        <is>
          <t>Private-key-based authentication system; risk of unrecoverable account takeover; accounts are hard to trace in distributed environments.</t>
        </is>
      </c>
      <c r="J94" s="16" t="inlineStr">
        <is>
          <t>Attacks on organization-level DID accounts.</t>
        </is>
      </c>
      <c r="K94" s="16" t="n"/>
      <c r="L94" s="16" t="inlineStr">
        <is>
          <t>https://attack.mitre.org/techniques/T1078</t>
        </is>
      </c>
    </row>
    <row r="95" ht="35.05" customHeight="1" s="7">
      <c r="A95" s="16" t="inlineStr">
        <is>
          <t>Initial Access</t>
        </is>
      </c>
      <c r="B95" s="16" t="inlineStr">
        <is>
          <t>T1078</t>
        </is>
      </c>
      <c r="C95" s="16" t="inlineStr">
        <is>
          <t>Valid Accounts</t>
        </is>
      </c>
      <c r="D95" s="16" t="inlineStr">
        <is>
          <t>T1078.003</t>
        </is>
      </c>
      <c r="E95" s="16" t="inlineStr">
        <is>
          <t>Local Accounts</t>
        </is>
      </c>
      <c r="F95" s="16" t="inlineStr">
        <is>
          <t>Full</t>
        </is>
      </c>
      <c r="G95" s="16" t="inlineStr">
        <is>
          <t>DID itself is a digital identity and account system; stealing a private key gives complete control over the identity; account management has distinctive characteristics in distributed environments.</t>
        </is>
      </c>
      <c r="H95" s="16" t="inlineStr">
        <is>
          <t>Access through legitimate credentials; use of existing access rights and privilege escalation; maintenance of persistent access.</t>
        </is>
      </c>
      <c r="I95" s="16" t="inlineStr">
        <is>
          <t>Private-key-based authentication system; risk of unrecoverable account takeover; accounts are hard to trace in distributed environments.</t>
        </is>
      </c>
      <c r="J95" s="16" t="inlineStr">
        <is>
          <t>Attacks on local DID wallet accounts.</t>
        </is>
      </c>
      <c r="K95" s="16" t="n"/>
      <c r="L95" s="16" t="inlineStr">
        <is>
          <t>https://attack.mitre.org/techniques/T1078</t>
        </is>
      </c>
    </row>
    <row r="96" ht="35.05" customHeight="1" s="7">
      <c r="A96" s="16" t="inlineStr">
        <is>
          <t>Initial Access</t>
        </is>
      </c>
      <c r="B96" s="16" t="inlineStr">
        <is>
          <t>T1078</t>
        </is>
      </c>
      <c r="C96" s="16" t="inlineStr">
        <is>
          <t>Valid Accounts</t>
        </is>
      </c>
      <c r="D96" s="16" t="inlineStr">
        <is>
          <t>T1078.004</t>
        </is>
      </c>
      <c r="E96" s="16" t="inlineStr">
        <is>
          <t>Cloud Accounts</t>
        </is>
      </c>
      <c r="F96" s="16" t="inlineStr">
        <is>
          <t>Full</t>
        </is>
      </c>
      <c r="G96" s="16" t="inlineStr">
        <is>
          <t>DID itself is a digital identity and account system; stealing a private key gives complete control over the identity; account management has distinctive characteristics in distributed environments.</t>
        </is>
      </c>
      <c r="H96" s="16" t="inlineStr">
        <is>
          <t>Access through legitimate credentials; use of existing access rights and privilege escalation; maintenance of persistent access.</t>
        </is>
      </c>
      <c r="I96" s="16" t="inlineStr">
        <is>
          <t>Private-key-based authentication system; risk of unrecoverable account takeover; accounts are hard to trace in distributed environments.</t>
        </is>
      </c>
      <c r="J96" s="16" t="inlineStr">
        <is>
          <t>Attacks on cloud-based DID service accounts.</t>
        </is>
      </c>
      <c r="K96" s="16" t="n"/>
      <c r="L96" s="16" t="inlineStr">
        <is>
          <t>https://attack.mitre.org/techniques/T1078</t>
        </is>
      </c>
    </row>
    <row r="97" ht="46.25" customHeight="1" s="7">
      <c r="A97" s="16" t="inlineStr">
        <is>
          <t>Initial Access</t>
        </is>
      </c>
      <c r="B97" s="16" t="inlineStr">
        <is>
          <t>T1669</t>
        </is>
      </c>
      <c r="C97" s="16" t="inlineStr">
        <is>
          <t>Wi-Fi Networks</t>
        </is>
      </c>
      <c r="D97" s="16" t="n"/>
      <c r="E97" s="16" t="n"/>
      <c r="F97" s="16" t="inlineStr">
        <is>
          <t>Partial</t>
        </is>
      </c>
      <c r="G97" s="16" t="inlineStr">
        <is>
          <t>Mobile DID applications use Wi-Fi networks; performing DID transactions on public Wi-Fi is risky; DID communications can be intercepted at the network level.</t>
        </is>
      </c>
      <c r="H97" s="16" t="inlineStr">
        <is>
          <t>Exploitation of wireless network vulnerabilities; interception and manipulation of network traffic; man-in-the-middle (MITM) attacks.</t>
        </is>
      </c>
      <c r="I97" s="16" t="inlineStr">
        <is>
          <t>Interception of DID-related blockchain communications; attacks on the private key transmission process; analysis of distributed network communication patterns.</t>
        </is>
      </c>
      <c r="J97" s="16" t="inlineStr">
        <is>
          <t>Strengthen encryption of DID communications; additional security measures when using public Wi-Fi; network-level monitoring of DID communications.</t>
        </is>
      </c>
      <c r="K97" s="16" t="n"/>
      <c r="L97" s="16" t="inlineStr">
        <is>
          <t>https://attack.mitre.org/techniques/T1669</t>
        </is>
      </c>
    </row>
    <row r="98" ht="180.55" customHeight="1" s="7">
      <c r="A98" s="16" t="inlineStr">
        <is>
          <t>Execution</t>
        </is>
      </c>
      <c r="B98" s="16" t="inlineStr">
        <is>
          <t>T1651</t>
        </is>
      </c>
      <c r="C98" s="16" t="inlineStr">
        <is>
          <t>Cloud Administration Command</t>
        </is>
      </c>
      <c r="D98" s="16" t="n"/>
      <c r="E98" s="16" t="n"/>
      <c r="F98" s="16" t="inlineStr">
        <is>
          <t>Partial</t>
        </is>
      </c>
      <c r="G98" s="16" t="inlineStr">
        <is>
          <t>If DID authentication systems (DID Agent, VC issuance server, verifier) are operated in a cloud environment, similar attacks can occur indirectly.
[Structural relevance]
- DID Agent (Cloud VM): High (RunCommand, SSM)
- VC Issuer server: Medium (AOBO, JIT privileges)
- Revocation API: Medium (manipulable via Runbook)</t>
        </is>
      </c>
      <c r="H98" s="16" t="inlineStr">
        <is>
          <t>1. DID Agents and services can run on AWS or Azure.
2. After stealing privileges, an attacker can execute commands inside the VM.
3. If system administrators or services allow the RunCommand function, command injection is possible.
4. The trust-based structure of the DID network makes lateral movement possible (abuse of trust delegation).</t>
        </is>
      </c>
      <c r="I98" s="16" t="inlineStr">
        <is>
          <t>DID system</t>
        </is>
      </c>
      <c r="J98" s="16" t="inlineStr">
        <is>
          <t>1. It is necessary to identify whether the target of RunCommand is a VC issuer or a verifier (fine-grained execution-privilege management per target system).
2. Privilege movement (lateral movement) between trusted DID nodes must be blocked (grant least privilege between nodes).
3. Temporary privileges should be granted on request rather than assigned statically.
4. RunCommand usage should be analyzed together with DID authentication logs (design a structure that cross-analyzes cloud logs and DID event logs).
5. The issuer and system administrator roles must be fully separated (configure authentication and operational privileges independently).</t>
        </is>
      </c>
      <c r="K98" s="16" t="n"/>
      <c r="L98" s="16" t="inlineStr">
        <is>
          <t>https://attack.mitre.org/techniques/T1651</t>
        </is>
      </c>
    </row>
    <row r="99" ht="202.95" customHeight="1" s="7">
      <c r="A99" s="16" t="inlineStr">
        <is>
          <t>Execution</t>
        </is>
      </c>
      <c r="B99" s="16" t="inlineStr">
        <is>
          <t>T1059</t>
        </is>
      </c>
      <c r="C99" s="16" t="inlineStr">
        <is>
          <t>Command and Scripting Interpreter</t>
        </is>
      </c>
      <c r="D99" s="16" t="inlineStr">
        <is>
          <t>T1059.001</t>
        </is>
      </c>
      <c r="E99" s="16" t="inlineStr">
        <is>
          <t>PowerShell</t>
        </is>
      </c>
      <c r="F99" s="16" t="inlineStr">
        <is>
          <t>Partial</t>
        </is>
      </c>
      <c r="G99"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99"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99" s="16" t="inlineStr">
        <is>
          <t>DID system</t>
        </is>
      </c>
      <c r="J99"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99" s="16" t="n"/>
      <c r="L99" s="16" t="inlineStr">
        <is>
          <t>https://attack.mitre.org/techniques/T1059</t>
        </is>
      </c>
    </row>
    <row r="100" ht="202.95" customHeight="1" s="7">
      <c r="A100" s="16" t="inlineStr">
        <is>
          <t>Execution</t>
        </is>
      </c>
      <c r="B100" s="16" t="inlineStr">
        <is>
          <t>T1059</t>
        </is>
      </c>
      <c r="C100" s="16" t="inlineStr">
        <is>
          <t>Command and Scripting Interpreter</t>
        </is>
      </c>
      <c r="D100" s="16" t="inlineStr">
        <is>
          <t>T1059.002</t>
        </is>
      </c>
      <c r="E100" s="16" t="inlineStr">
        <is>
          <t>AppleScript</t>
        </is>
      </c>
      <c r="F100" s="16" t="inlineStr">
        <is>
          <t>Partial</t>
        </is>
      </c>
      <c r="G100"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0"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0" s="16" t="inlineStr">
        <is>
          <t>DID system</t>
        </is>
      </c>
      <c r="J100"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0" s="16" t="n"/>
      <c r="L100" s="16" t="inlineStr">
        <is>
          <t>https://attack.mitre.org/techniques/T1059</t>
        </is>
      </c>
    </row>
    <row r="101" ht="202.95" customHeight="1" s="7">
      <c r="A101" s="16" t="inlineStr">
        <is>
          <t>Execution</t>
        </is>
      </c>
      <c r="B101" s="16" t="inlineStr">
        <is>
          <t>T1059</t>
        </is>
      </c>
      <c r="C101" s="16" t="inlineStr">
        <is>
          <t>Command and Scripting Interpreter</t>
        </is>
      </c>
      <c r="D101" s="16" t="inlineStr">
        <is>
          <t>T1059.003</t>
        </is>
      </c>
      <c r="E101" s="16" t="inlineStr">
        <is>
          <t>Windows Command Shell</t>
        </is>
      </c>
      <c r="F101" s="16" t="inlineStr">
        <is>
          <t>Partial</t>
        </is>
      </c>
      <c r="G101"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1"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1" s="16" t="inlineStr">
        <is>
          <t>Off-chain execution environments such as web apps, mobile apps, and VC verifiers</t>
        </is>
      </c>
      <c r="J101"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1" s="16" t="n"/>
      <c r="L101" s="16" t="inlineStr">
        <is>
          <t>https://attack.mitre.org/techniques/T1059</t>
        </is>
      </c>
    </row>
    <row r="102" ht="202.95" customHeight="1" s="7">
      <c r="A102" s="16" t="inlineStr">
        <is>
          <t>Execution</t>
        </is>
      </c>
      <c r="B102" s="16" t="inlineStr">
        <is>
          <t>T1059</t>
        </is>
      </c>
      <c r="C102" s="16" t="inlineStr">
        <is>
          <t>Command and Scripting Interpreter</t>
        </is>
      </c>
      <c r="D102" s="16" t="inlineStr">
        <is>
          <t>T1059.004</t>
        </is>
      </c>
      <c r="E102" s="16" t="inlineStr">
        <is>
          <t>Unix Shell</t>
        </is>
      </c>
      <c r="F102" s="16" t="inlineStr">
        <is>
          <t>Partial</t>
        </is>
      </c>
      <c r="G102"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2"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2" s="16" t="inlineStr">
        <is>
          <t>Off-chain execution environments such as web apps, mobile apps, and VC verifiers</t>
        </is>
      </c>
      <c r="J102"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2" s="16" t="n"/>
      <c r="L102" s="16" t="inlineStr">
        <is>
          <t>https://attack.mitre.org/techniques/T1059</t>
        </is>
      </c>
    </row>
    <row r="103" ht="202.95" customHeight="1" s="7">
      <c r="A103" s="16" t="inlineStr">
        <is>
          <t>Execution</t>
        </is>
      </c>
      <c r="B103" s="16" t="inlineStr">
        <is>
          <t>T1059</t>
        </is>
      </c>
      <c r="C103" s="16" t="inlineStr">
        <is>
          <t>Command and Scripting Interpreter</t>
        </is>
      </c>
      <c r="D103" s="16" t="inlineStr">
        <is>
          <t>T1059.005</t>
        </is>
      </c>
      <c r="E103" s="16" t="inlineStr">
        <is>
          <t>Visual Basic</t>
        </is>
      </c>
      <c r="F103" s="16" t="inlineStr">
        <is>
          <t>Partial</t>
        </is>
      </c>
      <c r="G103"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3"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3" s="16" t="inlineStr">
        <is>
          <t>Decentralized clients (DID Wallet), VC verifiers, CredentialStatus API</t>
        </is>
      </c>
      <c r="J103"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3" s="16" t="n"/>
      <c r="L103" s="16" t="inlineStr">
        <is>
          <t>https://attack.mitre.org/techniques/T1059</t>
        </is>
      </c>
    </row>
    <row r="104" ht="202.95" customHeight="1" s="7">
      <c r="A104" s="16" t="inlineStr">
        <is>
          <t>Execution</t>
        </is>
      </c>
      <c r="B104" s="16" t="inlineStr">
        <is>
          <t>T1059</t>
        </is>
      </c>
      <c r="C104" s="16" t="inlineStr">
        <is>
          <t>Command and Scripting Interpreter</t>
        </is>
      </c>
      <c r="D104" s="16" t="inlineStr">
        <is>
          <t>T1059.006</t>
        </is>
      </c>
      <c r="E104" s="16" t="inlineStr">
        <is>
          <t>Python</t>
        </is>
      </c>
      <c r="F104" s="16" t="inlineStr">
        <is>
          <t>Partial</t>
        </is>
      </c>
      <c r="G104"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4"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4" s="16" t="inlineStr">
        <is>
          <t>Decentralized clients (DID Wallet), VC verifiers, CredentialStatus API</t>
        </is>
      </c>
      <c r="J104"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4" s="16" t="n"/>
      <c r="L104" s="16" t="inlineStr">
        <is>
          <t>https://attack.mitre.org/techniques/T1059</t>
        </is>
      </c>
    </row>
    <row r="105" ht="202.95" customHeight="1" s="7">
      <c r="A105" s="16" t="inlineStr">
        <is>
          <t>Execution</t>
        </is>
      </c>
      <c r="B105" s="16" t="inlineStr">
        <is>
          <t>T1059</t>
        </is>
      </c>
      <c r="C105" s="16" t="inlineStr">
        <is>
          <t>Command and Scripting Interpreter</t>
        </is>
      </c>
      <c r="D105" s="16" t="inlineStr">
        <is>
          <t>T1059.007</t>
        </is>
      </c>
      <c r="E105" s="16" t="inlineStr">
        <is>
          <t>JavaScript</t>
        </is>
      </c>
      <c r="F105" s="16" t="inlineStr">
        <is>
          <t>Partial</t>
        </is>
      </c>
      <c r="G105"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5"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5" s="16" t="inlineStr">
        <is>
          <t>VC forgery, authentication bypass, manipulation of trusted APIs</t>
        </is>
      </c>
      <c r="J105"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5" s="16" t="n"/>
      <c r="L105" s="16" t="inlineStr">
        <is>
          <t>https://attack.mitre.org/techniques/T1059</t>
        </is>
      </c>
    </row>
    <row r="106" ht="202.95" customHeight="1" s="7">
      <c r="A106" s="16" t="inlineStr">
        <is>
          <t>Execution</t>
        </is>
      </c>
      <c r="B106" s="16" t="inlineStr">
        <is>
          <t>T1059</t>
        </is>
      </c>
      <c r="C106" s="16" t="inlineStr">
        <is>
          <t>Command and Scripting Interpreter</t>
        </is>
      </c>
      <c r="D106" s="16" t="inlineStr">
        <is>
          <t>T1059.008</t>
        </is>
      </c>
      <c r="E106" s="16" t="inlineStr">
        <is>
          <t>Network Device CLI</t>
        </is>
      </c>
      <c r="F106" s="16" t="inlineStr">
        <is>
          <t>Partial</t>
        </is>
      </c>
      <c r="G106"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6"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6" s="16" t="inlineStr">
        <is>
          <t>VC forgery, authentication bypass, manipulation of trusted APIs</t>
        </is>
      </c>
      <c r="J106"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6" s="16" t="n"/>
      <c r="L106" s="16" t="inlineStr">
        <is>
          <t>https://attack.mitre.org/techniques/T1059</t>
        </is>
      </c>
    </row>
    <row r="107" ht="202.95" customHeight="1" s="7">
      <c r="A107" s="16" t="inlineStr">
        <is>
          <t>Execution</t>
        </is>
      </c>
      <c r="B107" s="16" t="inlineStr">
        <is>
          <t>T1059</t>
        </is>
      </c>
      <c r="C107" s="16" t="inlineStr">
        <is>
          <t>Command and Scripting Interpreter</t>
        </is>
      </c>
      <c r="D107" s="16" t="inlineStr">
        <is>
          <t>T1059.009</t>
        </is>
      </c>
      <c r="E107" s="16" t="inlineStr">
        <is>
          <t>Cloud API</t>
        </is>
      </c>
      <c r="F107" s="16" t="inlineStr">
        <is>
          <t>Partial</t>
        </is>
      </c>
      <c r="G107"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7"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7" s="16" t="inlineStr">
        <is>
          <t>Successful authentication with forged VCs, status manipulation, privacy violation</t>
        </is>
      </c>
      <c r="J107"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7" s="16" t="n"/>
      <c r="L107" s="16" t="inlineStr">
        <is>
          <t>https://attack.mitre.org/techniques/T1059</t>
        </is>
      </c>
    </row>
    <row r="108" ht="202.95" customHeight="1" s="7">
      <c r="A108" s="16" t="inlineStr">
        <is>
          <t>Execution</t>
        </is>
      </c>
      <c r="B108" s="16" t="inlineStr">
        <is>
          <t>T1059</t>
        </is>
      </c>
      <c r="C108" s="16" t="inlineStr">
        <is>
          <t>Command and Scripting Interpreter</t>
        </is>
      </c>
      <c r="D108" s="16" t="inlineStr">
        <is>
          <t>T1059.010</t>
        </is>
      </c>
      <c r="E108" s="16" t="inlineStr">
        <is>
          <t>AutoHotKey &amp; AutoIT</t>
        </is>
      </c>
      <c r="F108" s="16" t="inlineStr">
        <is>
          <t>Partial</t>
        </is>
      </c>
      <c r="G108"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8"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8" s="16" t="inlineStr">
        <is>
          <t>Successful authentication with forged VCs, status manipulation, privacy violation</t>
        </is>
      </c>
      <c r="J108"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8" s="16" t="n"/>
      <c r="L108" s="16" t="inlineStr">
        <is>
          <t>https://attack.mitre.org/techniques/T1059</t>
        </is>
      </c>
    </row>
    <row r="109" ht="202.95" customHeight="1" s="7">
      <c r="A109" s="16" t="inlineStr">
        <is>
          <t>Execution</t>
        </is>
      </c>
      <c r="B109" s="16" t="inlineStr">
        <is>
          <t>T1059</t>
        </is>
      </c>
      <c r="C109" s="16" t="inlineStr">
        <is>
          <t>Command and Scripting Interpreter</t>
        </is>
      </c>
      <c r="D109" s="16" t="inlineStr">
        <is>
          <t>T1059.011</t>
        </is>
      </c>
      <c r="E109" s="16" t="inlineStr">
        <is>
          <t>Lua</t>
        </is>
      </c>
      <c r="F109" s="16" t="inlineStr">
        <is>
          <t>Partial</t>
        </is>
      </c>
      <c r="G109"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09"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09" s="16" t="inlineStr">
        <is>
          <t>Mostly off-chain environments, so traditional detection is not possible; separate behavior-based detection is needed.</t>
        </is>
      </c>
      <c r="J109"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09" s="16" t="n"/>
      <c r="L109" s="16" t="inlineStr">
        <is>
          <t>https://attack.mitre.org/techniques/T1059</t>
        </is>
      </c>
    </row>
    <row r="110" ht="202.95" customHeight="1" s="7">
      <c r="A110" s="16" t="inlineStr">
        <is>
          <t>Execution</t>
        </is>
      </c>
      <c r="B110" s="16" t="inlineStr">
        <is>
          <t>T1059</t>
        </is>
      </c>
      <c r="C110" s="16" t="inlineStr">
        <is>
          <t>Command and Scripting Interpreter</t>
        </is>
      </c>
      <c r="D110" s="16" t="inlineStr">
        <is>
          <t>T1059.012</t>
        </is>
      </c>
      <c r="E110" s="16" t="inlineStr">
        <is>
          <t>Hypervisor CLI</t>
        </is>
      </c>
      <c r="F110" s="16" t="inlineStr">
        <is>
          <t>Partial</t>
        </is>
      </c>
      <c r="G110" s="16" t="inlineStr">
        <is>
          <t>The DID system itself is not a traditional operating-system or command-line execution environment and therefore does not fully match T1059; however, because it mainly runs as web-based apps (React, Node, etc.), authentication servers (Python, Go), and on cloud-based VMs, it was judged to be partly relevant.
[Structural relevance]
- DID Wallet (Client): High (JavaScript, React Native, etc.)
- DID Agent Server: Medium (Python, Go, Node.js)
- CredentialStatus API: High (Node.js, Bash)</t>
        </is>
      </c>
      <c r="H110" s="16" t="inlineStr">
        <is>
          <t>1. Dynamic execution risk: off-chain elements of DID systems (e.g., VC verifiers, wallet apps, CredentialStatus API) are also built with JavaScript, Python, etc., and can dynamically load and execute external data.
2. Possibility of input-driven code execution: in the DID ecosystem as well, user-controllable input can be executed as code within the system when external schemas or presentation requests are processed (eval(), exec()).
3. Attacker-controlled external resources: an attacker can deliver malicious scripts or control execution paths through VC schema URLs, callback URLs, etc.
4. Authentication flow manipulation: command execution can manipulate VC contents, issuance status, presentation flows, etc., creating the possibility of authentication bypass.</t>
        </is>
      </c>
      <c r="I110" s="16" t="inlineStr">
        <is>
          <t>Mostly off-chain environments, so traditional detection is not possible; separate behavior-based detection is needed.</t>
        </is>
      </c>
      <c r="J110" s="16" t="inlineStr">
        <is>
          <t>1. DID environments have no command line, and execution mostly occurs off-chain through API calls or front-end scripts; it would be appropriate to change the framing from command-line-based execution to trust-path-based execution.
2. Reflect authentication flow manipulation in the attack goal: the goal of conventional T1059 is system takeover, whereas in DID the core is VC manipulation, reuse, and bypass.
3. Attacks can occur in various runtimes such as Node.js, React Native, and Python APIs; attack vectors need to be defined for each execution environment.
4. Privacy protection and authentication integrity are important in DID; it would be useful to add threat-assessment factors that reflect the severity of authentication manipulation.</t>
        </is>
      </c>
      <c r="K110" s="16" t="n"/>
      <c r="L110" s="16" t="inlineStr">
        <is>
          <t>https://attack.mitre.org/techniques/T1059</t>
        </is>
      </c>
    </row>
    <row r="111" ht="158.2" customHeight="1" s="7">
      <c r="A111" s="16" t="inlineStr">
        <is>
          <t>Execution</t>
        </is>
      </c>
      <c r="B111" s="16" t="inlineStr">
        <is>
          <t>T1609</t>
        </is>
      </c>
      <c r="C111" s="16" t="inlineStr">
        <is>
          <t>Container Administration Command</t>
        </is>
      </c>
      <c r="D111" s="16" t="n"/>
      <c r="E111" s="16" t="n"/>
      <c r="F111" s="16" t="inlineStr">
        <is>
          <t>Partial</t>
        </is>
      </c>
      <c r="G111" s="16" t="inlineStr">
        <is>
          <t>[Judgment: Partial] Execution of container administration commands is an infrastructure-layer (Docker/K8s) threat, i.e., a general infrastructure attack rather than a threat specific to the DID protocol. It requires the premise that the DID system is deployed on containers, so it was judged Partial. DID systems are built as container-based microservices, in which processes such as authentication, VC issuance/verification, and event logging run inside containers. If container administration commands affect the execution environment, they can manipulate or destroy the authentication framework itself. For these reasons it was judged to be highly relevant.
[Structural relevance]
- VC issuer (container): High (docker exec, entrypoint)
- DID Agent server (K8s Pod): High (kubectl exec)
- VC status verification API: Medium (access to files inside the container)</t>
        </is>
      </c>
      <c r="H111" s="16" t="inlineStr">
        <is>
          <t>1. DID authentication components often run in Docker/Kubernetes environments.
2. API-based command execution such as kubectl exec and docker exec is possible.
3. VC processing, log files, and status information can be manipulated directly inside containers, giving access to authentication components.
4. Execution privileges are misused when RBAC is inadequate or containers run as root.</t>
        </is>
      </c>
      <c r="I111" s="16" t="inlineStr">
        <is>
          <t>DID system</t>
        </is>
      </c>
      <c r="J111" s="16" t="inlineStr">
        <is>
          <t>1. It would be useful to specify security baselines for containers that include authentication components.
2. It would be useful to define RBAC specific to the VC framework.
3. It would be useful to trace behavior semantically to determine whether executed commands affect the authentication flow.
4. Verify integrity based on hashes and SBOMs to detect whether VC-processing container images have changed.</t>
        </is>
      </c>
      <c r="K111" s="16" t="n"/>
      <c r="L111" s="16" t="inlineStr">
        <is>
          <t>https://attack.mitre.org/techniques/T1609</t>
        </is>
      </c>
    </row>
    <row r="112" ht="202.95" customHeight="1" s="7">
      <c r="A112" s="16" t="inlineStr">
        <is>
          <t>Execution</t>
        </is>
      </c>
      <c r="B112" s="16" t="inlineStr">
        <is>
          <t>T1610</t>
        </is>
      </c>
      <c r="C112" s="16" t="inlineStr">
        <is>
          <t>Deploy Container</t>
        </is>
      </c>
      <c r="D112" s="16" t="n"/>
      <c r="E112" s="16" t="n"/>
      <c r="F112" s="16" t="inlineStr">
        <is>
          <t>Partial</t>
        </is>
      </c>
      <c r="G112" s="16" t="inlineStr">
        <is>
          <t>DID authentication frameworks are often container-based, and deploying a new container directly amounts to adding an authentication component. If an attacker deploys an unauthorized container, the VC issuance/verification framework can be abused, which can be a serious threat.
[Structural relevance]
- VC issuer: High (forgery can be executed by deploying a new issuer container)
- DID Agent server: High (deploying a malicious container after stealing Node privileges)
- Credential Status API: Medium (posing as a status verification server and returning forged status responses)</t>
        </is>
      </c>
      <c r="H112" s="16" t="inlineStr">
        <is>
          <t>1. DID authentication functions (VC issuance, verification, logging, etc.) are commonly deployed as containers.
2. An attacker can deploy containers resembling the legitimate configuration and disguise them as forged VC issuers/verifiers.
3. The attack risk increases when security settings (Pod Security Policy or Admission Controller) are inadequate.</t>
        </is>
      </c>
      <c r="I112" s="16" t="inlineStr">
        <is>
          <t>DID system</t>
        </is>
      </c>
      <c r="J112" s="16" t="inlineStr">
        <is>
          <t>1. Core authentication containers and management containers should be separated, and only internal deployment should be allowed.
2. An image integrity verification scheme should be introduced, making SBOM-based hash verification, and a hash check when deploying VC-processing containers, mandatory.
3. In conjunction with the Admission Controller, VC issuers, status verifiers, etc. should be configured through special policies so that only authorized images/namespaces can be deployed.
4. Containers for authentication components should be designed with a unique label (did.auth=true) to facilitate detection.
5. Authentication logs should be linked with container deployment records so that the origin of authentication actions can be traced.</t>
        </is>
      </c>
      <c r="K112" s="16" t="n"/>
      <c r="L112" s="16" t="inlineStr">
        <is>
          <t>https://attack.mitre.org/techniques/T1610</t>
        </is>
      </c>
    </row>
    <row r="113" ht="135.8" customHeight="1" s="7">
      <c r="A113" s="16" t="inlineStr">
        <is>
          <t>Execution</t>
        </is>
      </c>
      <c r="B113" s="16" t="inlineStr">
        <is>
          <t>T1675</t>
        </is>
      </c>
      <c r="C113" s="16" t="inlineStr">
        <is>
          <t>ESXi Administration Command</t>
        </is>
      </c>
      <c r="D113" s="16" t="n"/>
      <c r="E113" s="16" t="n"/>
      <c r="F113" s="16" t="inlineStr">
        <is>
          <t>No</t>
        </is>
      </c>
      <c r="G113" s="16" t="inlineStr">
        <is>
          <t>Relevant only if the DID authentication system uses virtualized infrastructure (ESXi- or VMware-based clusters). In particular, when microservice-based authentication servers (VP verifier, VC issuer, etc.) are deployed on guest VMs, compromise through ESXi command execution becomes possible.
[Structural relevance]
- VC issuer guest VM: Low (an ESXi administrator can manipulate the issuance flow)
- Credential Status API VM: Low (status responses can be manipulated and logs forged)
- DID Agent VM: Low (little impact if it only processes DID-based authentication requests)</t>
        </is>
      </c>
      <c r="H113" s="16" t="inlineStr">
        <is>
          <t>-</t>
        </is>
      </c>
      <c r="I113" s="16" t="inlineStr">
        <is>
          <t>DID system</t>
        </is>
      </c>
      <c r="J113" s="16" t="inlineStr">
        <is>
          <t>-</t>
        </is>
      </c>
      <c r="K113" s="16" t="n"/>
      <c r="L113" s="16" t="inlineStr">
        <is>
          <t>https://attack.mitre.org/techniques/T1675</t>
        </is>
      </c>
    </row>
    <row r="114" ht="135.8" customHeight="1" s="7">
      <c r="A114" s="16" t="inlineStr">
        <is>
          <t>Execution</t>
        </is>
      </c>
      <c r="B114" s="16" t="inlineStr">
        <is>
          <t>T1203</t>
        </is>
      </c>
      <c r="C114" s="16" t="inlineStr">
        <is>
          <t>Exploitation for Client Execution</t>
        </is>
      </c>
      <c r="D114" s="16" t="n"/>
      <c r="E114" s="16" t="n"/>
      <c r="F114" s="16" t="inlineStr">
        <is>
          <t>Partial</t>
        </is>
      </c>
      <c r="G114" s="16" t="inlineStr">
        <is>
          <t>Vulnerabilities in browser-based DID Wallet environments can be exploited, and VC or VP documents delivered in Office or PDF formats can become attack vectors.
[Structural relevance]
- DID Web-Wallet (browser): High (risk of browser vulnerability exploitation)
- DID desktop app (Electron): High (linked to Office/file-format vulnerabilities)
- Opening VC/VP attachment documents: High (malicious code in Office or PDF documents can execute)
- Server-based components: Low (not a target of traditional exploitation)</t>
        </is>
      </c>
      <c r="H114" s="16" t="inlineStr">
        <is>
          <t>1. Malicious code can be executed on the user's device.
2. Vulnerable apps on the user's device are the main attack targets.
3. Risk of authentication bypass through VC/VP leakage, forgery, or tampering.</t>
        </is>
      </c>
      <c r="I114" s="16" t="inlineStr">
        <is>
          <t>DID system</t>
        </is>
      </c>
      <c r="J114" s="16" t="inlineStr">
        <is>
          <t>1. Isolate browser Web Wallets with CSP/iframe and desktop apps with the Electron sandbox.
2. Allow only .vc.json and JWS/JWT formats, and restrict Office/PDF file formats.
3. Automatically verify the digital signature and schema consistency of VCs/VPs before they are opened.
4. Filter VC delivery via email/Office documents at the corporate gateway.
5. Record events such as opening, signature verification, and errors in a unified manner according to the DID protocol specification.</t>
        </is>
      </c>
      <c r="K114" s="16" t="n"/>
      <c r="L114" s="16" t="inlineStr">
        <is>
          <t>https://attack.mitre.org/techniques/T1203</t>
        </is>
      </c>
    </row>
    <row r="115" ht="79.84999999999999" customHeight="1" s="7">
      <c r="A115" s="16" t="inlineStr">
        <is>
          <t>Execution</t>
        </is>
      </c>
      <c r="B115" s="16" t="inlineStr">
        <is>
          <t>T1674</t>
        </is>
      </c>
      <c r="C115" s="16" t="inlineStr">
        <is>
          <t>Input Injection</t>
        </is>
      </c>
      <c r="D115" s="16" t="n"/>
      <c r="E115" s="16" t="n"/>
      <c r="F115" s="16" t="inlineStr">
        <is>
          <t>No</t>
        </is>
      </c>
      <c r="G115" s="16" t="inlineStr">
        <is>
          <t>The "automatic execution of browser DevTools" scenario itself is theoretically possible, but in practice attacks based on HID input simulation are unlikely to succeed in browser or mobile app environments. In web environments in particular, secure browser policies (CSP, sandbox) and similar measures apply. Practical Input Injection relies on GUI automation (AutoHotKey, etc.) and is meaningful only for desktop apps.</t>
        </is>
      </c>
      <c r="H115" s="16" t="inlineStr">
        <is>
          <t>-</t>
        </is>
      </c>
      <c r="I115" s="16" t="inlineStr">
        <is>
          <t>DID system</t>
        </is>
      </c>
      <c r="J115" s="16" t="inlineStr">
        <is>
          <t>-</t>
        </is>
      </c>
      <c r="K115" s="16" t="n"/>
      <c r="L115" s="16" t="inlineStr">
        <is>
          <t>https://attack.mitre.org/techniques/T1674</t>
        </is>
      </c>
    </row>
    <row r="116" ht="15" customHeight="1" s="7">
      <c r="A116" s="16" t="inlineStr">
        <is>
          <t>Execution</t>
        </is>
      </c>
      <c r="B116" s="16" t="inlineStr">
        <is>
          <t>T1559</t>
        </is>
      </c>
      <c r="C116" s="16" t="inlineStr">
        <is>
          <t>Inter-Process Communication</t>
        </is>
      </c>
      <c r="D116" s="16" t="inlineStr">
        <is>
          <t>T1559.001</t>
        </is>
      </c>
      <c r="E116" s="16" t="inlineStr">
        <is>
          <t>Component Object Model</t>
        </is>
      </c>
      <c r="F116" s="16" t="inlineStr">
        <is>
          <t>No</t>
        </is>
      </c>
      <c r="G116" s="16" t="inlineStr">
        <is>
          <t>DID systems are not based on an IPC architecture.</t>
        </is>
      </c>
      <c r="H116" s="16" t="inlineStr">
        <is>
          <t>-</t>
        </is>
      </c>
      <c r="I116" s="16" t="inlineStr">
        <is>
          <t>DID system</t>
        </is>
      </c>
      <c r="J116" s="16" t="inlineStr">
        <is>
          <t>-</t>
        </is>
      </c>
      <c r="K116" s="16" t="n"/>
      <c r="L116" s="16" t="inlineStr">
        <is>
          <t>https://attack.mitre.org/techniques/T1559</t>
        </is>
      </c>
    </row>
    <row r="117" ht="23.85" customHeight="1" s="7">
      <c r="A117" s="16" t="inlineStr">
        <is>
          <t>Execution</t>
        </is>
      </c>
      <c r="B117" s="16" t="inlineStr">
        <is>
          <t>T1559</t>
        </is>
      </c>
      <c r="C117" s="16" t="inlineStr">
        <is>
          <t>Inter-Process Communication</t>
        </is>
      </c>
      <c r="D117" s="16" t="inlineStr">
        <is>
          <t>T1559.002</t>
        </is>
      </c>
      <c r="E117" s="16" t="inlineStr">
        <is>
          <t>Dynamic Data Exchange</t>
        </is>
      </c>
      <c r="F117" s="16" t="inlineStr">
        <is>
          <t>No</t>
        </is>
      </c>
      <c r="G117" s="16" t="inlineStr">
        <is>
          <t>DID systems are not based on an IPC architecture.</t>
        </is>
      </c>
      <c r="H117" s="16" t="inlineStr">
        <is>
          <t>-</t>
        </is>
      </c>
      <c r="I117" s="16" t="inlineStr">
        <is>
          <t>VC processing flow chaining, log forwarding, status updates, etc.</t>
        </is>
      </c>
      <c r="J117" s="16" t="inlineStr">
        <is>
          <t>-</t>
        </is>
      </c>
      <c r="K117" s="16" t="n"/>
      <c r="L117" s="16" t="inlineStr">
        <is>
          <t>https://attack.mitre.org/techniques/T1559</t>
        </is>
      </c>
    </row>
    <row r="118" ht="35.05" customHeight="1" s="7">
      <c r="A118" s="16" t="inlineStr">
        <is>
          <t>Execution</t>
        </is>
      </c>
      <c r="B118" s="16" t="inlineStr">
        <is>
          <t>T1559</t>
        </is>
      </c>
      <c r="C118" s="16" t="inlineStr">
        <is>
          <t>Inter-Process Communication</t>
        </is>
      </c>
      <c r="D118" s="16" t="inlineStr">
        <is>
          <t>T1559.003</t>
        </is>
      </c>
      <c r="E118" s="16" t="inlineStr">
        <is>
          <t>XPC Services</t>
        </is>
      </c>
      <c r="F118" s="16" t="inlineStr">
        <is>
          <t>No</t>
        </is>
      </c>
      <c r="G118" s="16" t="inlineStr">
        <is>
          <t>DID systems are not based on an IPC architecture.</t>
        </is>
      </c>
      <c r="H118" s="16" t="inlineStr">
        <is>
          <t>-</t>
        </is>
      </c>
      <c r="I118" s="16" t="inlineStr">
        <is>
          <t>Possibility of authentication manipulation, VC forgery/tampering, and status-report manipulation</t>
        </is>
      </c>
      <c r="J118" s="16" t="inlineStr">
        <is>
          <t>-</t>
        </is>
      </c>
      <c r="K118" s="16" t="n"/>
      <c r="L118" s="16" t="inlineStr">
        <is>
          <t>https://attack.mitre.org/techniques/T1559</t>
        </is>
      </c>
    </row>
    <row r="119" ht="124.6" customHeight="1" s="7">
      <c r="A119" s="16" t="inlineStr">
        <is>
          <t>Execution</t>
        </is>
      </c>
      <c r="B119" s="16" t="inlineStr">
        <is>
          <t>T1106</t>
        </is>
      </c>
      <c r="C119" s="16" t="inlineStr">
        <is>
          <t>Native API</t>
        </is>
      </c>
      <c r="D119" s="16" t="n"/>
      <c r="E119" s="16" t="n"/>
      <c r="F119" s="16" t="inlineStr">
        <is>
          <t>Partial</t>
        </is>
      </c>
      <c r="G119" s="16" t="inlineStr">
        <is>
          <t>DID systems have little direct interaction with Native APIs, but if TEEs, wallet applications, or low-level libraries running on servers are present, API calls structurally similar to T1106 can occur. In particular, device-based DID Wallets (mobile) and TEE-based VC issuers can access system resources and perform cryptographic operations through OS Native API calls, so risk factors exist.
[Structural relevance]
- DID Wallet (app): High (iOS/Android API, WebView, Crypto API)
- VC issuer (TEE): High (ARM TrustZone, Intel SGX API)
- CredentialStatus API: Medium (possible low-level file access and system API calls)</t>
        </is>
      </c>
      <c r="H119" s="16" t="inlineStr">
        <is>
          <t>1. During DID authentication, structures similar to Native API calls can be used for low-level cryptographic operations, key store access, and environment detection.
2. API calls that access memory regions storing sensitive information such as authentication tokens and keys may exist.
3. Security may be bypassed through TEE regions to which security policies do not apply or through device kernel APIs.</t>
        </is>
      </c>
      <c r="I119" s="16" t="inlineStr">
        <is>
          <t>DID system</t>
        </is>
      </c>
      <c r="J119" s="16" t="inlineStr">
        <is>
          <t>1. Because DID authentication systems are client-centric, local calls are hard to trace; monitoring logs of wallet-app API calls need to be obtained.
2. OS-level detection is impossible inside TrustZone/SGX; hash verification of the results of externally delegated execution is needed.
3. Because VC issuance logic can be altered via Native APIs, integrity checks of the legitimate call path and of the VC status verification logic are needed.</t>
        </is>
      </c>
      <c r="K119" s="16" t="n"/>
      <c r="L119" s="16" t="inlineStr">
        <is>
          <t>https://attack.mitre.org/techniques/T1106</t>
        </is>
      </c>
    </row>
    <row r="120" ht="169.4" customHeight="1" s="7">
      <c r="A120" s="16" t="inlineStr">
        <is>
          <t>Execution</t>
        </is>
      </c>
      <c r="B120" s="16" t="inlineStr">
        <is>
          <t>T1053</t>
        </is>
      </c>
      <c r="C120" s="16" t="inlineStr">
        <is>
          <t>Scheduled Task/Job</t>
        </is>
      </c>
      <c r="D120" s="16" t="inlineStr">
        <is>
          <t>T1053.002</t>
        </is>
      </c>
      <c r="E120" s="16" t="inlineStr">
        <is>
          <t>At</t>
        </is>
      </c>
      <c r="F120" s="16" t="inlineStr">
        <is>
          <t>Partial</t>
        </is>
      </c>
      <c r="G120" s="16" t="inlineStr">
        <is>
          <t>The DID system itself does not directly use traditional OS task schedulers, but its off-chain elements (backend services, certificate issuers, Credential Status API) often run background jobs in containerized environments using scheduling mechanisms such as cron and systemd timers; hence attacks similar to T1053 are possible.
[Structural relevance]
- VC issuer (Agent Server): High (periodic VC issuance/renewal schedules)
- Credential Status API: High (schedule-based status synchronization jobs)
- Log server (Audit Logger): Medium (schedule-based compression/backup)
- DID Wallet (Client): Low (mostly triggered manually)
- Orchestrator (K8s Job, CronJob): Very high (can be leveraged in authentication flows based on automatic execution)</t>
        </is>
      </c>
      <c r="H120" s="16" t="inlineStr">
        <is>
          <t>1. Off-chain microservices run periodically using cron, systemd, etc.
2. Privilege escalation risk: when jobs run with root privileges, an attacker can launch a root shell through a schedule.
3. Backdoor persistence: malicious commands can be executed continuously through periodic schedules.
4. No user involvement: execution is automatic, making detection and awareness difficult.</t>
        </is>
      </c>
      <c r="I120" s="16" t="inlineStr">
        <is>
          <t>DID system</t>
        </is>
      </c>
      <c r="J120" s="16" t="inlineStr">
        <is>
          <t>1. Schedule-based authentication flows, such as automatic VC renewal and periodic status checks, need to be managed.
2. Container security policies need to be strengthened, e.g., by minimizing task execution privileges (blocking periodic jobs run as root, applying RBAC, etc.).
3. Task definition hash comparison and integrity checks need to be introduced to detect automated attacks.
4. Schedule changes by an attacker are hard to detect, so integrity checks of the scheduled-task.yaml definition file are needed.</t>
        </is>
      </c>
      <c r="K120" s="16" t="n"/>
      <c r="L120" s="16" t="inlineStr">
        <is>
          <t>https://attack.mitre.org/techniques/T1053</t>
        </is>
      </c>
    </row>
    <row r="121" ht="169.4" customHeight="1" s="7">
      <c r="A121" s="16" t="inlineStr">
        <is>
          <t>Execution</t>
        </is>
      </c>
      <c r="B121" s="16" t="inlineStr">
        <is>
          <t>T1053</t>
        </is>
      </c>
      <c r="C121" s="16" t="inlineStr">
        <is>
          <t>Scheduled Task/Job</t>
        </is>
      </c>
      <c r="D121" s="16" t="inlineStr">
        <is>
          <t>T1053.003</t>
        </is>
      </c>
      <c r="E121" s="16" t="inlineStr">
        <is>
          <t>Cron</t>
        </is>
      </c>
      <c r="F121" s="16" t="inlineStr">
        <is>
          <t>Partial</t>
        </is>
      </c>
      <c r="G121" s="16" t="inlineStr">
        <is>
          <t>The DID system itself does not directly use traditional OS task schedulers, but its off-chain elements (backend services, certificate issuers, Credential Status API) often run background jobs in containerized environments using scheduling mechanisms such as cron and systemd timers; hence attacks similar to T1053 are possible.
[Structural relevance]
- VC issuer (Agent Server): High (periodic VC issuance/renewal schedules)
- Credential Status API: High (schedule-based status synchronization jobs)
- Log server (Audit Logger): Medium (schedule-based compression/backup)
- DID Wallet (Client): Low (mostly triggered manually)
- Orchestrator (K8s Job, CronJob): Very high (can be leveraged in authentication flows based on automatic execution)</t>
        </is>
      </c>
      <c r="H121" s="16" t="inlineStr">
        <is>
          <t>1. Off-chain microservices run periodically using cron, systemd, etc.
2. Privilege escalation risk: when jobs run with root privileges, an attacker can launch a root shell through a schedule.
3. Backdoor persistence: malicious commands can be executed continuously through periodic schedules.
4. No user involvement: execution is automatic, making detection and awareness difficult.</t>
        </is>
      </c>
      <c r="I121" s="16" t="inlineStr">
        <is>
          <t>Container-based Task/Job or Cloud Function</t>
        </is>
      </c>
      <c r="J121" s="16" t="inlineStr">
        <is>
          <t>1. Schedule-based authentication flows, such as automatic VC renewal and periodic status checks, need to be managed.
2. Container security policies need to be strengthened, e.g., by minimizing task execution privileges (blocking periodic jobs run as root, applying RBAC, etc.).
3. Task definition hash comparison and integrity checks need to be introduced to detect automated attacks.
4. Schedule changes by an attacker are hard to detect, so integrity checks of the scheduled-task.yaml definition file are needed.</t>
        </is>
      </c>
      <c r="K121" s="16" t="n"/>
      <c r="L121" s="16" t="inlineStr">
        <is>
          <t>https://attack.mitre.org/techniques/T1053</t>
        </is>
      </c>
    </row>
    <row r="122" ht="169.4" customHeight="1" s="7">
      <c r="A122" s="16" t="inlineStr">
        <is>
          <t>Execution</t>
        </is>
      </c>
      <c r="B122" s="16" t="inlineStr">
        <is>
          <t>T1053</t>
        </is>
      </c>
      <c r="C122" s="16" t="inlineStr">
        <is>
          <t>Scheduled Task/Job</t>
        </is>
      </c>
      <c r="D122" s="16" t="inlineStr">
        <is>
          <t>T1053.005</t>
        </is>
      </c>
      <c r="E122" s="16" t="inlineStr">
        <is>
          <t>Scheduled Task</t>
        </is>
      </c>
      <c r="F122" s="16" t="inlineStr">
        <is>
          <t>Partial</t>
        </is>
      </c>
      <c r="G122" s="16" t="inlineStr">
        <is>
          <t>The DID system itself does not directly use traditional OS task schedulers, but its off-chain elements (backend services, certificate issuers, Credential Status API) often run background jobs in containerized environments using scheduling mechanisms such as cron and systemd timers; hence attacks similar to T1053 are possible.
[Structural relevance]
- VC issuer (Agent Server): High (periodic VC issuance/renewal schedules)
- Credential Status API: High (schedule-based status synchronization jobs)
- Log server (Audit Logger): Medium (schedule-based compression/backup)
- DID Wallet (Client): Low (mostly triggered manually)
- Orchestrator (K8s Job, CronJob): Very high (can be leveraged in authentication flows based on automatic execution)</t>
        </is>
      </c>
      <c r="H122" s="16" t="inlineStr">
        <is>
          <t>1. Off-chain microservices run periodically using cron, systemd, etc.
2. Privilege escalation risk: when jobs run with root privileges, an attacker can launch a root shell through a schedule.
3. Backdoor persistence: malicious commands can be executed continuously through periodic schedules.
4. No user involvement: execution is automatic, making detection and awareness difficult.</t>
        </is>
      </c>
      <c r="I122" s="16" t="inlineStr">
        <is>
          <t>Destruction of authentication trust, automated VC forgery</t>
        </is>
      </c>
      <c r="J122" s="16" t="inlineStr">
        <is>
          <t>1. Schedule-based authentication flows, such as automatic VC renewal and periodic status checks, need to be managed.
2. Container security policies need to be strengthened, e.g., by minimizing task execution privileges (blocking periodic jobs run as root, applying RBAC, etc.).
3. Task definition hash comparison and integrity checks need to be introduced to detect automated attacks.
4. Schedule changes by an attacker are hard to detect, so integrity checks of the scheduled-task.yaml definition file are needed.</t>
        </is>
      </c>
      <c r="K122" s="16" t="n"/>
      <c r="L122" s="16" t="inlineStr">
        <is>
          <t>https://attack.mitre.org/techniques/T1053</t>
        </is>
      </c>
    </row>
    <row r="123" ht="169.4" customHeight="1" s="7">
      <c r="A123" s="16" t="inlineStr">
        <is>
          <t>Execution</t>
        </is>
      </c>
      <c r="B123" s="16" t="inlineStr">
        <is>
          <t>T1053</t>
        </is>
      </c>
      <c r="C123" s="16" t="inlineStr">
        <is>
          <t>Scheduled Task/Job</t>
        </is>
      </c>
      <c r="D123" s="16" t="inlineStr">
        <is>
          <t>T1053.006</t>
        </is>
      </c>
      <c r="E123" s="16" t="inlineStr">
        <is>
          <t>Systemd Timers</t>
        </is>
      </c>
      <c r="F123" s="16" t="inlineStr">
        <is>
          <t>Partial</t>
        </is>
      </c>
      <c r="G123" s="16" t="inlineStr">
        <is>
          <t>The DID system itself does not directly use traditional OS task schedulers, but its off-chain elements (backend services, certificate issuers, Credential Status API) often run background jobs in containerized environments using scheduling mechanisms such as cron and systemd timers; hence attacks similar to T1053 are possible.
[Structural relevance]
- VC issuer (Agent Server): High (periodic VC issuance/renewal schedules)
- Credential Status API: High (schedule-based status synchronization jobs)
- Log server (Audit Logger): Medium (schedule-based compression/backup)
- DID Wallet (Client): Low (mostly triggered manually)
- Orchestrator (K8s Job, CronJob): Very high (can be leveraged in authentication flows based on automatic execution)</t>
        </is>
      </c>
      <c r="H123" s="16" t="inlineStr">
        <is>
          <t>1. Off-chain microservices run periodically using cron, systemd, etc.
2. Privilege escalation risk: when jobs run with root privileges, an attacker can launch a root shell through a schedule.
3. Backdoor persistence: malicious commands can be executed continuously through periodic schedules.
4. No user involvement: execution is automatic, making detection and awareness difficult.</t>
        </is>
      </c>
      <c r="I123" s="16" t="inlineStr">
        <is>
          <t>Inside off-chain authentication modules (Node.js, Python)</t>
        </is>
      </c>
      <c r="J123" s="16" t="inlineStr">
        <is>
          <t>1. Schedule-based authentication flows, such as automatic VC renewal and periodic status checks, need to be managed.
2. Container security policies need to be strengthened, e.g., by minimizing task execution privileges (blocking periodic jobs run as root, applying RBAC, etc.).
3. Task definition hash comparison and integrity checks need to be introduced to detect automated attacks.
4. Schedule changes by an attacker are hard to detect, so integrity checks of the scheduled-task.yaml definition file are needed.</t>
        </is>
      </c>
      <c r="K123" s="16" t="n"/>
      <c r="L123" s="16" t="inlineStr">
        <is>
          <t>https://attack.mitre.org/techniques/T1053</t>
        </is>
      </c>
    </row>
    <row r="124" ht="169.4" customHeight="1" s="7">
      <c r="A124" s="16" t="inlineStr">
        <is>
          <t>Execution</t>
        </is>
      </c>
      <c r="B124" s="16" t="inlineStr">
        <is>
          <t>T1053</t>
        </is>
      </c>
      <c r="C124" s="16" t="inlineStr">
        <is>
          <t>Scheduled Task/Job</t>
        </is>
      </c>
      <c r="D124" s="16" t="inlineStr">
        <is>
          <t>T1053.007</t>
        </is>
      </c>
      <c r="E124" s="16" t="inlineStr">
        <is>
          <t>Container Orchestration Job</t>
        </is>
      </c>
      <c r="F124" s="16" t="inlineStr">
        <is>
          <t>Partial</t>
        </is>
      </c>
      <c r="G124" s="16" t="inlineStr">
        <is>
          <t>The DID system itself does not directly use traditional OS task schedulers, but its off-chain elements (backend services, certificate issuers, Credential Status API) often run background jobs in containerized environments using scheduling mechanisms such as cron and systemd timers; hence attacks similar to T1053 are possible.
[Structural relevance]
- VC issuer (Agent Server): High (periodic VC issuance/renewal schedules)
- Credential Status API: High (schedule-based status synchronization jobs)
- Log server (Audit Logger): Medium (schedule-based compression/backup)
- DID Wallet (Client): Low (mostly triggered manually)
- Orchestrator (K8s Job, CronJob): Very high (can be leveraged in authentication flows based on automatic execution)</t>
        </is>
      </c>
      <c r="H124" s="16" t="inlineStr">
        <is>
          <t>1. Off-chain microservices run periodically using cron, systemd, etc.
2. Privilege escalation risk: when jobs run with root privileges, an attacker can launch a root shell through a schedule.
3. Backdoor persistence: malicious commands can be executed continuously through periodic schedules.
4. No user involvement: execution is automatic, making detection and awareness difficult.</t>
        </is>
      </c>
      <c r="I124" s="16" t="inlineStr">
        <is>
          <t>Cloud-based, so dynamic allocation and randomized execution times are possible</t>
        </is>
      </c>
      <c r="J124" s="16" t="inlineStr">
        <is>
          <t>1. Schedule-based authentication flows, such as automatic VC renewal and periodic status checks, need to be managed.
2. Container security policies need to be strengthened, e.g., by minimizing task execution privileges (blocking periodic jobs run as root, applying RBAC, etc.).
3. Task definition hash comparison and integrity checks need to be introduced to detect automated attacks.
4. Schedule changes by an attacker are hard to detect, so integrity checks of the scheduled-task.yaml definition file are needed.</t>
        </is>
      </c>
      <c r="K124" s="16" t="n"/>
      <c r="L124" s="16" t="inlineStr">
        <is>
          <t>https://attack.mitre.org/techniques/T1053</t>
        </is>
      </c>
    </row>
    <row r="125" ht="158.2" customHeight="1" s="7">
      <c r="A125" s="16" t="inlineStr">
        <is>
          <t>Execution</t>
        </is>
      </c>
      <c r="B125" s="16" t="inlineStr">
        <is>
          <t>T1648</t>
        </is>
      </c>
      <c r="C125" s="16" t="inlineStr">
        <is>
          <t>Serverless Execution</t>
        </is>
      </c>
      <c r="D125" s="16" t="n"/>
      <c r="E125" s="16" t="n"/>
      <c r="F125" s="16" t="inlineStr">
        <is>
          <t>Partial</t>
        </is>
      </c>
      <c r="G125" s="16" t="inlineStr">
        <is>
          <t>The DID system itself is not directly tied to serverless computing, but when VC issuance/verification procedures are implemented as cloud automation flows (Serverless API Gateway + Lambda) or office-based flows (M365 Power Automate), the behavior is similar to this attack technique.
[Structural relevance]
- Serverless backend of VC issuer: High (AWS Lambda, GCP Cloud Functions, etc.)
- DID authentication trigger functions: High (automatic issuance/verification in response to user DID requests)
- Power Automate-based VC workflows: Medium (can occur in Office-based integration structures)
- Apps Script-based Google Workspace integration: Medium (may include scripts that run automatically when a file is opened)</t>
        </is>
      </c>
      <c r="H125" s="16" t="inlineStr">
        <is>
          <t>1. Serverless functions execute automatically on events and operate without user involvement.
2. Privilege escalation is possible by misusing role-based access control (IAM, etc.).
3. Function logic can be injected or modified externally, and users can hardly notice it.</t>
        </is>
      </c>
      <c r="I125" s="16" t="inlineStr">
        <is>
          <t>DID system</t>
        </is>
      </c>
      <c r="J125" s="16" t="inlineStr">
        <is>
          <t>1. Restrict serverless function trigger conditions using a whitelist.
2. Separate the integrity verification logic of VC issuance/verification functions.
3. Minimize IAM policies and block role transitions (PassRole, etc.).
4. For external integration logic such as Power Automate or Apps Script, insert an integrity verification step based on script hash verification.
5. Restrict over-programmed event bindings (e.g., block automatic VC issuance on onCreateUser).</t>
        </is>
      </c>
      <c r="K125" s="16" t="n"/>
      <c r="L125" s="16" t="inlineStr">
        <is>
          <t>https://attack.mitre.org/techniques/T1648</t>
        </is>
      </c>
    </row>
    <row r="126" ht="135.8" customHeight="1" s="7">
      <c r="A126" s="16" t="inlineStr">
        <is>
          <t>Execution</t>
        </is>
      </c>
      <c r="B126" s="16" t="inlineStr">
        <is>
          <t>T1129</t>
        </is>
      </c>
      <c r="C126" s="16" t="inlineStr">
        <is>
          <t>Shared Modules</t>
        </is>
      </c>
      <c r="D126" s="16" t="n"/>
      <c r="E126" s="16" t="n"/>
      <c r="F126" s="16" t="inlineStr">
        <is>
          <t>No</t>
        </is>
      </c>
      <c r="G126" s="16" t="inlineStr">
        <is>
          <t>T1129 is a traditional OS-level execution-based attack and, for the following reasons, has low structural relevance to DID authentication systems:
- It presupposes injection of malicious modules operating within native applications or system services on Windows/Linux/macOS, and requires the attacker to have local file system access and the ability to load arbitrary .dll or .so files.
- DID authentication systems mostly follow REST API- or JSON-based authentication flows in web/mobile applications, so local native API calls occur only to a limited extent. DID systems are typically built as Node.js, Python, or Go microservices, in which dlopen and LoadLibrary calls are absent or very rare.</t>
        </is>
      </c>
      <c r="H126" s="16" t="inlineStr">
        <is>
          <t>-</t>
        </is>
      </c>
      <c r="I126" s="16" t="inlineStr">
        <is>
          <t>DID system</t>
        </is>
      </c>
      <c r="J126" s="16" t="inlineStr">
        <is>
          <t>-</t>
        </is>
      </c>
      <c r="K126" s="16" t="n"/>
      <c r="L126" s="16" t="inlineStr">
        <is>
          <t>https://attack.mitre.org/techniques/T1129</t>
        </is>
      </c>
    </row>
    <row r="127" ht="68.65000000000001" customHeight="1" s="7">
      <c r="A127" s="16" t="inlineStr">
        <is>
          <t>Execution</t>
        </is>
      </c>
      <c r="B127" s="16" t="inlineStr">
        <is>
          <t>T1072</t>
        </is>
      </c>
      <c r="C127" s="16" t="inlineStr">
        <is>
          <t>Software Deployment Tools</t>
        </is>
      </c>
      <c r="D127" s="16" t="n"/>
      <c r="E127" s="16" t="n"/>
      <c r="F127" s="16" t="inlineStr">
        <is>
          <t>No</t>
        </is>
      </c>
      <c r="G127" s="16" t="inlineStr">
        <is>
          <t>Realistically, DID systems are very unlikely to be integrated with SCCM/Intune. Deployment is mostly CI/CD-based (GitHub Actions, GitLab CI, etc.), and they are not EDR targets either. SCCM/Intune are enterprise endpoint-oriented deployment tools whose deployment model differs from that of DID authentication servers (container-based microservices), so relevance is low.</t>
        </is>
      </c>
      <c r="H127" s="16" t="inlineStr">
        <is>
          <t>-</t>
        </is>
      </c>
      <c r="I127" s="16" t="inlineStr">
        <is>
          <t>DID system</t>
        </is>
      </c>
      <c r="J127" s="16" t="inlineStr">
        <is>
          <t>-</t>
        </is>
      </c>
      <c r="K127" s="16" t="n"/>
      <c r="L127" s="16" t="inlineStr">
        <is>
          <t>https://attack.mitre.org/techniques/T1072</t>
        </is>
      </c>
    </row>
    <row r="128" ht="46.25" customHeight="1" s="7">
      <c r="A128" s="16" t="inlineStr">
        <is>
          <t>Execution</t>
        </is>
      </c>
      <c r="B128" s="16" t="inlineStr">
        <is>
          <t>T1569</t>
        </is>
      </c>
      <c r="C128" s="16" t="inlineStr">
        <is>
          <t>System Services</t>
        </is>
      </c>
      <c r="D128" s="16" t="inlineStr">
        <is>
          <t>T1569.001</t>
        </is>
      </c>
      <c r="E128" s="16" t="inlineStr">
        <is>
          <t>Launchctl</t>
        </is>
      </c>
      <c r="F128" s="16" t="inlineStr">
        <is>
          <t>No</t>
        </is>
      </c>
      <c r="G128" s="16" t="inlineStr">
        <is>
          <t>systemd-based daemon execution occurs only in some on-premises deployments, and most VC issuance/verification components run as containers or serverless functions. "Static systemd service registration" applies only to special on-premises deployment models.</t>
        </is>
      </c>
      <c r="H128" s="16" t="inlineStr">
        <is>
          <t>-</t>
        </is>
      </c>
      <c r="I128" s="16" t="inlineStr">
        <is>
          <t>DID system</t>
        </is>
      </c>
      <c r="J128" s="16" t="inlineStr">
        <is>
          <t>-</t>
        </is>
      </c>
      <c r="K128" s="16" t="n"/>
      <c r="L128" s="16" t="inlineStr">
        <is>
          <t>https://attack.mitre.org/techniques/T1569</t>
        </is>
      </c>
    </row>
    <row r="129" ht="46.25" customHeight="1" s="7">
      <c r="A129" s="16" t="inlineStr">
        <is>
          <t>Execution</t>
        </is>
      </c>
      <c r="B129" s="16" t="inlineStr">
        <is>
          <t>T1569</t>
        </is>
      </c>
      <c r="C129" s="16" t="inlineStr">
        <is>
          <t>System Services</t>
        </is>
      </c>
      <c r="D129" s="16" t="inlineStr">
        <is>
          <t>T1569.002</t>
        </is>
      </c>
      <c r="E129" s="16" t="inlineStr">
        <is>
          <t>Service Execution</t>
        </is>
      </c>
      <c r="F129" s="16" t="inlineStr">
        <is>
          <t>No</t>
        </is>
      </c>
      <c r="G129" s="16" t="inlineStr">
        <is>
          <t>systemd-based daemon execution occurs only in some on-premises deployments, and most VC issuance/verification components run as containers or serverless functions. "Static systemd service registration" applies only to special on-premises deployment models.</t>
        </is>
      </c>
      <c r="H129" s="16" t="inlineStr">
        <is>
          <t>-</t>
        </is>
      </c>
      <c r="I129" s="16" t="inlineStr">
        <is>
          <t>Mostly API-based processing; no service registration</t>
        </is>
      </c>
      <c r="J129" s="16" t="inlineStr">
        <is>
          <t>-</t>
        </is>
      </c>
      <c r="K129" s="16" t="n"/>
      <c r="L129" s="16" t="inlineStr">
        <is>
          <t>https://attack.mitre.org/techniques/T1569</t>
        </is>
      </c>
    </row>
    <row r="130" ht="46.25" customHeight="1" s="7">
      <c r="A130" s="16" t="inlineStr">
        <is>
          <t>Execution</t>
        </is>
      </c>
      <c r="B130" s="16" t="inlineStr">
        <is>
          <t>T1569</t>
        </is>
      </c>
      <c r="C130" s="16" t="inlineStr">
        <is>
          <t>System Services</t>
        </is>
      </c>
      <c r="D130" s="16" t="inlineStr">
        <is>
          <t>T1569.003</t>
        </is>
      </c>
      <c r="E130" s="16" t="inlineStr">
        <is>
          <t>Systemctl</t>
        </is>
      </c>
      <c r="F130" s="16" t="inlineStr">
        <is>
          <t>No</t>
        </is>
      </c>
      <c r="G130" s="16" t="inlineStr">
        <is>
          <t>systemd-based daemon execution occurs only in some on-premises deployments, and most VC issuance/verification components run as containers or serverless functions. "Static systemd service registration" applies only to special on-premises deployment models.</t>
        </is>
      </c>
      <c r="H130" s="16" t="inlineStr">
        <is>
          <t>-</t>
        </is>
      </c>
      <c r="I130" s="16" t="inlineStr">
        <is>
          <t>Deployment privileges are limited, and execution takes place in isolated environments</t>
        </is>
      </c>
      <c r="J130" s="16" t="inlineStr">
        <is>
          <t>-</t>
        </is>
      </c>
      <c r="K130" s="16" t="n"/>
      <c r="L130" s="16" t="inlineStr">
        <is>
          <t>https://attack.mitre.org/techniques/T1569</t>
        </is>
      </c>
    </row>
    <row r="131" ht="124.6" customHeight="1" s="7">
      <c r="A131" s="16" t="inlineStr">
        <is>
          <t>Execution</t>
        </is>
      </c>
      <c r="B131" s="16" t="inlineStr">
        <is>
          <t>T1204</t>
        </is>
      </c>
      <c r="C131" s="16" t="inlineStr">
        <is>
          <t>User Execution</t>
        </is>
      </c>
      <c r="D131" s="16" t="inlineStr">
        <is>
          <t>T1204.001</t>
        </is>
      </c>
      <c r="E131" s="16" t="inlineStr">
        <is>
          <t>Malicious Link</t>
        </is>
      </c>
      <c r="F131" s="16" t="inlineStr">
        <is>
          <t>Partial</t>
        </is>
      </c>
      <c r="G131" s="16" t="inlineStr">
        <is>
          <t>Because DID systems are structured so that client users submit or verify VCs through browsers or mobile apps, the environment allows induced execution via malicious links/scripts.
[Structural relevance]
- DID Wallet (web/mobile): Medium (users can be lured to malicious VCs or disguised authentication request pages)
- VC verifier (web portal): Medium (malicious JavaScript can be induced in the browser)
- Cloud server: Low (limited unless an administrator executes it manually)
- Container-based issuer: None (not an environment in which external users can induce command execution)</t>
        </is>
      </c>
      <c r="H131" s="16" t="inlineStr">
        <is>
          <t>1. User-action-based execution flows exist: user triggers such as clicking authentication links and VC submission buttons.
2. Possible phishing/spoofing-based threats: users can be lured to forged DID authentication portals.
3. Web-based JavaScript attacks are applicable: CSRF, session hijacking, etc. are possible.</t>
        </is>
      </c>
      <c r="I131" s="16" t="inlineStr">
        <is>
          <t>DID system</t>
        </is>
      </c>
      <c r="J131" s="16" t="inlineStr">
        <is>
          <t>1. Block automatic execution of external links and apply a URL whitelist in DID Wallet apps.
2. Strengthen domain validation and signature checks for VC verification request URLs.
3. Display phishing-detection alerts to users at authentication requests (e.g., certificate mismatch warnings).
4. Block iframe and script injection in authentication portals (CSP, XSS protection).</t>
        </is>
      </c>
      <c r="K131" s="16" t="n"/>
      <c r="L131" s="16" t="inlineStr">
        <is>
          <t>https://attack.mitre.org/techniques/T1204</t>
        </is>
      </c>
    </row>
    <row r="132" ht="124.6" customHeight="1" s="7">
      <c r="A132" s="16" t="inlineStr">
        <is>
          <t>Execution</t>
        </is>
      </c>
      <c r="B132" s="16" t="inlineStr">
        <is>
          <t>T1204</t>
        </is>
      </c>
      <c r="C132" s="16" t="inlineStr">
        <is>
          <t>User Execution</t>
        </is>
      </c>
      <c r="D132" s="16" t="inlineStr">
        <is>
          <t>T1204.002</t>
        </is>
      </c>
      <c r="E132" s="16" t="inlineStr">
        <is>
          <t>Malicious File</t>
        </is>
      </c>
      <c r="F132" s="16" t="inlineStr">
        <is>
          <t>Partial</t>
        </is>
      </c>
      <c r="G132" s="16" t="inlineStr">
        <is>
          <t>Because DID systems are structured so that client users submit or verify VCs through browsers or mobile apps, the environment allows induced execution via malicious links/scripts.
[Structural relevance]
- DID Wallet (web/mobile): Medium (users can be lured to malicious VCs or disguised authentication request pages)
- VC verifier (web portal): Medium (malicious JavaScript can be induced in the browser)
- Cloud server: Low (limited unless an administrator executes it manually)
- Container-based issuer: None (not an environment in which external users can induce command execution)</t>
        </is>
      </c>
      <c r="H132" s="16" t="inlineStr">
        <is>
          <t>1. User-action-based execution flows exist: user triggers such as clicking authentication links and VC submission buttons.
2. Possible phishing/spoofing-based threats: users can be lured to forged DID authentication portals.
3. Web-based JavaScript attacks are applicable: CSRF, session hijacking, etc. are possible.</t>
        </is>
      </c>
      <c r="I132" s="16" t="inlineStr">
        <is>
          <t>Authentication requests via browsers/apps</t>
        </is>
      </c>
      <c r="J132" s="16" t="inlineStr">
        <is>
          <t>1. Block automatic execution of external links and apply a URL whitelist in DID Wallet apps.
2. Strengthen domain validation and signature checks for VC verification request URLs.
3. Display phishing-detection alerts to users at authentication requests (e.g., certificate mismatch warnings).
4. Block iframe and script injection in authentication portals (CSP, XSS protection).</t>
        </is>
      </c>
      <c r="K132" s="16" t="n"/>
      <c r="L132" s="16" t="inlineStr">
        <is>
          <t>https://attack.mitre.org/techniques/T1204</t>
        </is>
      </c>
    </row>
    <row r="133" ht="124.6" customHeight="1" s="7">
      <c r="A133" s="16" t="inlineStr">
        <is>
          <t>Execution</t>
        </is>
      </c>
      <c r="B133" s="16" t="inlineStr">
        <is>
          <t>T1204</t>
        </is>
      </c>
      <c r="C133" s="16" t="inlineStr">
        <is>
          <t>User Execution</t>
        </is>
      </c>
      <c r="D133" s="16" t="inlineStr">
        <is>
          <t>T1204.003</t>
        </is>
      </c>
      <c r="E133" s="16" t="inlineStr">
        <is>
          <t>Malicious Image</t>
        </is>
      </c>
      <c r="F133" s="16" t="inlineStr">
        <is>
          <t>Partial</t>
        </is>
      </c>
      <c r="G133" s="16" t="inlineStr">
        <is>
          <t>Because DID systems are structured so that client users submit or verify VCs through browsers or mobile apps, the environment allows induced execution via malicious links/scripts.
[Structural relevance]
- DID Wallet (web/mobile): Medium (users can be lured to malicious VCs or disguised authentication request pages)
- VC verifier (web portal): Medium (malicious JavaScript can be induced in the browser)
- Cloud server: Low (limited unless an administrator executes it manually)
- Container-based issuer: None (not an environment in which external users can induce command execution)</t>
        </is>
      </c>
      <c r="H133" s="16" t="inlineStr">
        <is>
          <t>1. User-action-based execution flows exist: user triggers such as clicking authentication links and VC submission buttons.
2. Possible phishing/spoofing-based threats: users can be lured to forged DID authentication portals.
3. Web-based JavaScript attacks are applicable: CSRF, session hijacking, etc. are possible.</t>
        </is>
      </c>
      <c r="I133" s="16" t="inlineStr">
        <is>
          <t>Clicking malicious links, visiting disguised authentication pages, etc.</t>
        </is>
      </c>
      <c r="J133" s="16" t="inlineStr">
        <is>
          <t>1. Block automatic execution of external links and apply a URL whitelist in DID Wallet apps.
2. Strengthen domain validation and signature checks for VC verification request URLs.
3. Display phishing-detection alerts to users at authentication requests (e.g., certificate mismatch warnings).
4. Block iframe and script injection in authentication portals (CSP, XSS protection).</t>
        </is>
      </c>
      <c r="K133" s="16" t="n"/>
      <c r="L133" s="16" t="inlineStr">
        <is>
          <t>https://attack.mitre.org/techniques/T1204</t>
        </is>
      </c>
    </row>
    <row r="134" ht="124.6" customHeight="1" s="7">
      <c r="A134" s="16" t="inlineStr">
        <is>
          <t>Execution</t>
        </is>
      </c>
      <c r="B134" s="16" t="inlineStr">
        <is>
          <t>T1204</t>
        </is>
      </c>
      <c r="C134" s="16" t="inlineStr">
        <is>
          <t>User Execution</t>
        </is>
      </c>
      <c r="D134" s="16" t="inlineStr">
        <is>
          <t>T1204.004</t>
        </is>
      </c>
      <c r="E134" s="16" t="inlineStr">
        <is>
          <t>Malicious Copy and Paste</t>
        </is>
      </c>
      <c r="F134" s="16" t="inlineStr">
        <is>
          <t>Partial</t>
        </is>
      </c>
      <c r="G134" s="16" t="inlineStr">
        <is>
          <t>Because DID systems are structured so that client users submit or verify VCs through browsers or mobile apps, the environment allows induced execution via malicious links/scripts.
[Structural relevance]
- DID Wallet (web/mobile): Medium (users can be lured to malicious VCs or disguised authentication request pages)
- VC verifier (web portal): Medium (malicious JavaScript can be induced in the browser)
- Cloud server: Low (limited unless an administrator executes it manually)
- Container-based issuer: None (not an environment in which external users can induce command execution)</t>
        </is>
      </c>
      <c r="H134" s="16" t="inlineStr">
        <is>
          <t>1. User-action-based execution flows exist: user triggers such as clicking authentication links and VC submission buttons.
2. Possible phishing/spoofing-based threats: users can be lured to forged DID authentication portals.
3. Web-based JavaScript attacks are applicable: CSRF, session hijacking, etc. are possible.</t>
        </is>
      </c>
      <c r="I134" s="16" t="inlineStr">
        <is>
          <t>UI-based interactions such as QR authentication and VC upload</t>
        </is>
      </c>
      <c r="J134" s="16" t="inlineStr">
        <is>
          <t>1. Block automatic execution of external links and apply a URL whitelist in DID Wallet apps.
2. Strengthen domain validation and signature checks for VC verification request URLs.
3. Display phishing-detection alerts to users at authentication requests (e.g., certificate mismatch warnings).
4. Block iframe and script injection in authentication portals (CSP, XSS protection).</t>
        </is>
      </c>
      <c r="K134" s="16" t="n"/>
      <c r="L134" s="16" t="inlineStr">
        <is>
          <t>https://attack.mitre.org/techniques/T1204</t>
        </is>
      </c>
    </row>
    <row r="135" ht="46.25" customHeight="1" s="7">
      <c r="A135" s="16" t="inlineStr">
        <is>
          <t>Execution</t>
        </is>
      </c>
      <c r="B135" s="16" t="inlineStr">
        <is>
          <t>T1047</t>
        </is>
      </c>
      <c r="C135" s="16" t="inlineStr">
        <is>
          <t>Windows Management Instrumentation</t>
        </is>
      </c>
      <c r="D135" s="16" t="n"/>
      <c r="E135" s="16" t="n"/>
      <c r="F135" s="16" t="inlineStr">
        <is>
          <t>No</t>
        </is>
      </c>
      <c r="G135" s="16" t="inlineStr">
        <is>
          <t>DID authentication systems generally run on Linux/container-based servers, mobile/web apps, blockchain networks, etc., and do not depend on Windows-based service configurations or WMI; WMI is a Windows-only API and has no direct structural relation to DID authentication flows.</t>
        </is>
      </c>
      <c r="H135" s="16" t="inlineStr">
        <is>
          <t>-</t>
        </is>
      </c>
      <c r="I135" s="16" t="inlineStr">
        <is>
          <t>DID system</t>
        </is>
      </c>
      <c r="J135" s="16" t="inlineStr">
        <is>
          <t>-</t>
        </is>
      </c>
      <c r="K135" s="16" t="n"/>
      <c r="L135" s="16" t="inlineStr">
        <is>
          <t>https://attack.mitre.org/techniques/T1047</t>
        </is>
      </c>
    </row>
    <row r="136" ht="124.6" customHeight="1" s="7">
      <c r="A136" s="16" t="inlineStr">
        <is>
          <t>Persistence</t>
        </is>
      </c>
      <c r="B136" s="16" t="inlineStr">
        <is>
          <t>T1098</t>
        </is>
      </c>
      <c r="C136" s="16" t="inlineStr">
        <is>
          <t>Account Manipulation</t>
        </is>
      </c>
      <c r="D136" s="16" t="inlineStr">
        <is>
          <t>T1098.001</t>
        </is>
      </c>
      <c r="E136" s="16" t="inlineStr">
        <is>
          <t>Additional Cloud Credentials</t>
        </is>
      </c>
      <c r="F136" s="16" t="inlineStr">
        <is>
          <t>Full</t>
        </is>
      </c>
      <c r="G136"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36"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36"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36" s="16" t="inlineStr">
        <is>
          <t>1. Strengthen DID document integrity verification: verify integrity by tracking change history.
2. Key change verification: identify normal key change patterns, monitor the key change process, and detect abnormal key changes.</t>
        </is>
      </c>
      <c r="K136" s="16" t="n"/>
      <c r="L136" s="16" t="inlineStr">
        <is>
          <t>https://attack.mitre.org/techniques/T1098</t>
        </is>
      </c>
    </row>
    <row r="137" ht="124.6" customHeight="1" s="7">
      <c r="A137" s="16" t="inlineStr">
        <is>
          <t>Persistence</t>
        </is>
      </c>
      <c r="B137" s="16" t="inlineStr">
        <is>
          <t>T1098</t>
        </is>
      </c>
      <c r="C137" s="16" t="inlineStr">
        <is>
          <t>Account Manipulation</t>
        </is>
      </c>
      <c r="D137" s="16" t="inlineStr">
        <is>
          <t>T1098.002</t>
        </is>
      </c>
      <c r="E137" s="16" t="inlineStr">
        <is>
          <t>Additional Email Delegate Permissions</t>
        </is>
      </c>
      <c r="F137" s="16" t="inlineStr">
        <is>
          <t>Full</t>
        </is>
      </c>
      <c r="G137"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37"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37"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37" s="16" t="inlineStr">
        <is>
          <t>1. Strengthen DID document integrity verification: verify integrity by tracking change history.
2. Key change verification: identify normal key change patterns, monitor the key change process, and detect abnormal key changes.</t>
        </is>
      </c>
      <c r="K137" s="16" t="n"/>
      <c r="L137" s="16" t="inlineStr">
        <is>
          <t>https://attack.mitre.org/techniques/T1098</t>
        </is>
      </c>
    </row>
    <row r="138" ht="124.6" customHeight="1" s="7">
      <c r="A138" s="16" t="inlineStr">
        <is>
          <t>Persistence</t>
        </is>
      </c>
      <c r="B138" s="16" t="inlineStr">
        <is>
          <t>T1098</t>
        </is>
      </c>
      <c r="C138" s="16" t="inlineStr">
        <is>
          <t>Account Manipulation</t>
        </is>
      </c>
      <c r="D138" s="16" t="inlineStr">
        <is>
          <t>T1098.003</t>
        </is>
      </c>
      <c r="E138" s="16" t="inlineStr">
        <is>
          <t>Additional Cloud Roles</t>
        </is>
      </c>
      <c r="F138" s="16" t="inlineStr">
        <is>
          <t>Full</t>
        </is>
      </c>
      <c r="G138"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38"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38"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38" s="16" t="inlineStr">
        <is>
          <t>1. Strengthen DID document integrity verification: verify integrity by tracking change history.
2. Key change verification: identify normal key change patterns, monitor the key change process, and detect abnormal key changes.</t>
        </is>
      </c>
      <c r="K138" s="16" t="n"/>
      <c r="L138" s="16" t="inlineStr">
        <is>
          <t>https://attack.mitre.org/techniques/T1098</t>
        </is>
      </c>
    </row>
    <row r="139" ht="124.6" customHeight="1" s="7">
      <c r="A139" s="16" t="inlineStr">
        <is>
          <t>Persistence</t>
        </is>
      </c>
      <c r="B139" s="16" t="inlineStr">
        <is>
          <t>T1098</t>
        </is>
      </c>
      <c r="C139" s="16" t="inlineStr">
        <is>
          <t>Account Manipulation</t>
        </is>
      </c>
      <c r="D139" s="16" t="inlineStr">
        <is>
          <t>T1098.004</t>
        </is>
      </c>
      <c r="E139" s="16" t="inlineStr">
        <is>
          <t>SSH Authorized Keys</t>
        </is>
      </c>
      <c r="F139" s="16" t="inlineStr">
        <is>
          <t>Full</t>
        </is>
      </c>
      <c r="G139"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39"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39"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39" s="16" t="inlineStr">
        <is>
          <t>1. Strengthen DID document integrity verification: verify integrity by tracking change history.
2. Key change verification: identify normal key change patterns, monitor the key change process, and detect abnormal key changes.</t>
        </is>
      </c>
      <c r="K139" s="16" t="n"/>
      <c r="L139" s="16" t="inlineStr">
        <is>
          <t>https://attack.mitre.org/techniques/T1098</t>
        </is>
      </c>
    </row>
    <row r="140" ht="124.6" customHeight="1" s="7">
      <c r="A140" s="16" t="inlineStr">
        <is>
          <t>Persistence</t>
        </is>
      </c>
      <c r="B140" s="16" t="inlineStr">
        <is>
          <t>T1098</t>
        </is>
      </c>
      <c r="C140" s="16" t="inlineStr">
        <is>
          <t>Account Manipulation</t>
        </is>
      </c>
      <c r="D140" s="16" t="inlineStr">
        <is>
          <t>T1098.005</t>
        </is>
      </c>
      <c r="E140" s="16" t="inlineStr">
        <is>
          <t>Device Registration</t>
        </is>
      </c>
      <c r="F140" s="16" t="inlineStr">
        <is>
          <t>Full</t>
        </is>
      </c>
      <c r="G140"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40"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40"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40" s="16" t="inlineStr">
        <is>
          <t>1. Strengthen DID document integrity verification: verify integrity by tracking change history.
2. Key change verification: identify normal key change patterns, monitor the key change process, and detect abnormal key changes.</t>
        </is>
      </c>
      <c r="K140" s="16" t="n"/>
      <c r="L140" s="16" t="inlineStr">
        <is>
          <t>https://attack.mitre.org/techniques/T1098</t>
        </is>
      </c>
    </row>
    <row r="141" ht="124.6" customHeight="1" s="7">
      <c r="A141" s="16" t="inlineStr">
        <is>
          <t>Persistence</t>
        </is>
      </c>
      <c r="B141" s="16" t="inlineStr">
        <is>
          <t>T1098</t>
        </is>
      </c>
      <c r="C141" s="16" t="inlineStr">
        <is>
          <t>Account Manipulation</t>
        </is>
      </c>
      <c r="D141" s="16" t="inlineStr">
        <is>
          <t>T1098.006</t>
        </is>
      </c>
      <c r="E141" s="16" t="inlineStr">
        <is>
          <t>Additional Container Cluster Roles</t>
        </is>
      </c>
      <c r="F141" s="16" t="inlineStr">
        <is>
          <t>Full</t>
        </is>
      </c>
      <c r="G141"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41"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41"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41" s="16" t="inlineStr">
        <is>
          <t>1. Strengthen DID document integrity verification: verify integrity by tracking change history.
2. Key change verification: identify normal key change patterns, monitor the key change process, and detect abnormal key changes.</t>
        </is>
      </c>
      <c r="K141" s="16" t="n"/>
      <c r="L141" s="16" t="inlineStr">
        <is>
          <t>https://attack.mitre.org/techniques/T1098</t>
        </is>
      </c>
    </row>
    <row r="142" ht="124.6" customHeight="1" s="7">
      <c r="A142" s="16" t="inlineStr">
        <is>
          <t>Persistence</t>
        </is>
      </c>
      <c r="B142" s="16" t="inlineStr">
        <is>
          <t>T1098</t>
        </is>
      </c>
      <c r="C142" s="16" t="inlineStr">
        <is>
          <t>Account Manipulation</t>
        </is>
      </c>
      <c r="D142" s="16" t="inlineStr">
        <is>
          <t>T1098.007</t>
        </is>
      </c>
      <c r="E142" s="16" t="inlineStr">
        <is>
          <t>Additional Local or Domain Groups</t>
        </is>
      </c>
      <c r="F142" s="16" t="inlineStr">
        <is>
          <t>Full</t>
        </is>
      </c>
      <c r="G142" s="16" t="inlineStr">
        <is>
          <t>To penetrate the account management system of a target system, the attacker must hold some level of privilege or understand the system's structure. If the attacker steals a private key, all DID authentication becomes possible with that key. Moreover, after stealing a DID key, the attacker can forge VC signatures and manipulate VC contents, enabling (1, 2, 3) changes to privilege levels and (5) extension of the expiry of obtained privileges or insertion of additional privilege information. Alternatively, (4) the attacker can issue fake VCs in bulk to paralyze the DID system and undermine its trustworthiness.</t>
        </is>
      </c>
      <c r="H142" s="16" t="inlineStr">
        <is>
          <t>1. Attacks are carried out by manipulating existing accounts/identities.
2. The attacker seeks to escalate and maintain the privileges of their account.
3. A system's account management logic plays a role similar to private key management logic in DID; by manipulating the private key management logic, the attacker can grant themselves privileges that allow VC forgery.
4. Because legitimate accounts are abused, detection by security systems can be evaded.</t>
        </is>
      </c>
      <c r="I142" s="16" t="inlineStr">
        <is>
          <t>- System difference: traditional systems perform authentication based on central servers (LDAP, AD), whereas blockchain-based DID systems perform P2P distributed verification.
- Key storage difference: conventionally the server stores password hashes, whereas in blockchain DID each client holds its own private key.
- Tracing method: conventionally central server logs can be traced, whereas in DID blockchain transaction records are traced.</t>
        </is>
      </c>
      <c r="J142" s="16" t="inlineStr">
        <is>
          <t>1. Strengthen DID document integrity verification: verify integrity by tracking change history.
2. Key change verification: identify normal key change patterns, monitor the key change process, and detect abnormal key changes.</t>
        </is>
      </c>
      <c r="K142" s="16" t="n"/>
      <c r="L142" s="16" t="inlineStr">
        <is>
          <t>https://attack.mitre.org/techniques/T1098</t>
        </is>
      </c>
    </row>
    <row r="143" ht="236.55" customHeight="1" s="7">
      <c r="A143" s="16" t="inlineStr">
        <is>
          <t>Persistence</t>
        </is>
      </c>
      <c r="B143" s="16" t="inlineStr">
        <is>
          <t>T1197</t>
        </is>
      </c>
      <c r="C143" s="16" t="inlineStr">
        <is>
          <t>BITS Jobs</t>
        </is>
      </c>
      <c r="D143" s="16" t="n"/>
      <c r="E143" s="16" t="n"/>
      <c r="F143" s="16" t="inlineStr">
        <is>
          <t>No</t>
        </is>
      </c>
      <c r="G143" s="16" t="inlineStr">
        <is>
          <t>DID systems are web-based services and have no direct relation to Windows BITS.</t>
        </is>
      </c>
      <c r="H143" s="16" t="inlineStr">
        <is>
          <t>1. The attacker performs attack tasks in the background using system resources.
2. Commands are executed and results transmitted through network communication with external servers.
3. Attacks are carried out using system privileges.
4. When a network failure occurs, the running code is automatically re-executed and retried.</t>
        </is>
      </c>
      <c r="I143" s="16" t="inlineStr">
        <is>
          <t>- The conventional technique operates via the Windows-only BITS service (COM-based), whereas DID is W3C-based and uses different platforms.
- Execution environment difference: the conventional technique runs at the OS system-service level (NT AUTHORITY\SYSTEM), whereas DID runs at the browser/application level.
- The conventional technique uses HTTP/HTTPS file transfer (RFC 7230-7235), whereas DID uses a network structure based on JSON-LD data exchange (RFC 8259).
- Conventionally, data are processed and used via binary file download/upload, whereas DID processes blockchain-based structured credentials and cryptographic proofs.
- Security mechanism difference: Windows ACLs and NTFS permissions conventionally, versus DID public-key cryptography and digital signatures in DID.</t>
        </is>
      </c>
      <c r="J143" s="16" t="inlineStr">
        <is>
          <t>-</t>
        </is>
      </c>
      <c r="K143" s="16" t="n"/>
      <c r="L143" s="16" t="inlineStr">
        <is>
          <t>https://attack.mitre.org/techniques/T1197</t>
        </is>
      </c>
    </row>
    <row r="144" ht="180.55" customHeight="1" s="7">
      <c r="A144" s="16" t="inlineStr">
        <is>
          <t>Persistence</t>
        </is>
      </c>
      <c r="B144" s="16" t="inlineStr">
        <is>
          <t>T1547</t>
        </is>
      </c>
      <c r="C144" s="16" t="inlineStr">
        <is>
          <t>Boot or Logon Autostart Execution</t>
        </is>
      </c>
      <c r="D144" s="16" t="inlineStr">
        <is>
          <t>T1547.001</t>
        </is>
      </c>
      <c r="E144" s="16" t="inlineStr">
        <is>
          <t>Registry Run Keys / Startup Folder</t>
        </is>
      </c>
      <c r="F144" s="16" t="inlineStr">
        <is>
          <t>Partial</t>
        </is>
      </c>
      <c r="G144" s="16" t="inlineStr">
        <is>
          <t>DID services are mainly delivered through the web and applications, so there is almost no direct relation to OS boot; however, threats can arise from the auto-start of apps such as DID wallets.</t>
        </is>
      </c>
      <c r="H144"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44"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44"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44" s="16" t="n"/>
      <c r="L144" s="16" t="inlineStr">
        <is>
          <t>https://attack.mitre.org/techniques/T1547</t>
        </is>
      </c>
    </row>
    <row r="145" ht="180.55" customHeight="1" s="7">
      <c r="A145" s="16" t="inlineStr">
        <is>
          <t>Persistence</t>
        </is>
      </c>
      <c r="B145" s="16" t="inlineStr">
        <is>
          <t>T1547</t>
        </is>
      </c>
      <c r="C145" s="16" t="inlineStr">
        <is>
          <t>Boot or Logon Autostart Execution</t>
        </is>
      </c>
      <c r="D145" s="16" t="inlineStr">
        <is>
          <t>T1547.002</t>
        </is>
      </c>
      <c r="E145" s="16" t="inlineStr">
        <is>
          <t>Authentication Package</t>
        </is>
      </c>
      <c r="F145" s="16" t="inlineStr">
        <is>
          <t>Partial</t>
        </is>
      </c>
      <c r="G145" s="16" t="inlineStr">
        <is>
          <t>DID services are mainly delivered through the web and applications, so there is almost no direct relation to OS boot; however, threats can arise from the auto-start of apps such as DID wallets.</t>
        </is>
      </c>
      <c r="H145"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45"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45"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45" s="16" t="n"/>
      <c r="L145" s="16" t="inlineStr">
        <is>
          <t>https://attack.mitre.org/techniques/T1547</t>
        </is>
      </c>
    </row>
    <row r="146" ht="180.55" customHeight="1" s="7">
      <c r="A146" s="16" t="inlineStr">
        <is>
          <t>Persistence</t>
        </is>
      </c>
      <c r="B146" s="16" t="inlineStr">
        <is>
          <t>T1547</t>
        </is>
      </c>
      <c r="C146" s="16" t="inlineStr">
        <is>
          <t>Boot or Logon Autostart Execution</t>
        </is>
      </c>
      <c r="D146" s="16" t="inlineStr">
        <is>
          <t>T1547.003</t>
        </is>
      </c>
      <c r="E146" s="16" t="inlineStr">
        <is>
          <t>Time Providers</t>
        </is>
      </c>
      <c r="F146" s="16" t="inlineStr">
        <is>
          <t>Partial</t>
        </is>
      </c>
      <c r="G146" s="16" t="inlineStr">
        <is>
          <t>DID services are mainly delivered through the web and applications, so there is almost no direct relation to OS boot; however, threats can arise from the auto-start of apps such as DID wallets.</t>
        </is>
      </c>
      <c r="H146"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46"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46"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46" s="16" t="n"/>
      <c r="L146" s="16" t="inlineStr">
        <is>
          <t>https://attack.mitre.org/techniques/T1547</t>
        </is>
      </c>
    </row>
    <row r="147" ht="180.55" customHeight="1" s="7">
      <c r="A147" s="16" t="inlineStr">
        <is>
          <t>Persistence</t>
        </is>
      </c>
      <c r="B147" s="16" t="inlineStr">
        <is>
          <t>T1547</t>
        </is>
      </c>
      <c r="C147" s="16" t="inlineStr">
        <is>
          <t>Boot or Logon Autostart Execution</t>
        </is>
      </c>
      <c r="D147" s="16" t="inlineStr">
        <is>
          <t>T1547.004</t>
        </is>
      </c>
      <c r="E147" s="16" t="inlineStr">
        <is>
          <t>Winlogon Helper DLL</t>
        </is>
      </c>
      <c r="F147" s="16" t="inlineStr">
        <is>
          <t>Partial</t>
        </is>
      </c>
      <c r="G147" s="16" t="inlineStr">
        <is>
          <t>DID services are mainly delivered through the web and applications, so there is almost no direct relation to OS boot; however, threats can arise from the auto-start of apps such as DID wallets.</t>
        </is>
      </c>
      <c r="H147"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47"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47"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47" s="16" t="n"/>
      <c r="L147" s="16" t="inlineStr">
        <is>
          <t>https://attack.mitre.org/techniques/T1547</t>
        </is>
      </c>
    </row>
    <row r="148" ht="180.55" customHeight="1" s="7">
      <c r="A148" s="16" t="inlineStr">
        <is>
          <t>Persistence</t>
        </is>
      </c>
      <c r="B148" s="16" t="inlineStr">
        <is>
          <t>T1547</t>
        </is>
      </c>
      <c r="C148" s="16" t="inlineStr">
        <is>
          <t>Boot or Logon Autostart Execution</t>
        </is>
      </c>
      <c r="D148" s="16" t="inlineStr">
        <is>
          <t>T1547.005</t>
        </is>
      </c>
      <c r="E148" s="16" t="inlineStr">
        <is>
          <t>Security Support Provider</t>
        </is>
      </c>
      <c r="F148" s="16" t="inlineStr">
        <is>
          <t>Partial</t>
        </is>
      </c>
      <c r="G148" s="16" t="inlineStr">
        <is>
          <t>DID services are mainly delivered through the web and applications, so there is almost no direct relation to OS boot; however, threats can arise from the auto-start of apps such as DID wallets.</t>
        </is>
      </c>
      <c r="H148"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48"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48"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48" s="16" t="n"/>
      <c r="L148" s="16" t="inlineStr">
        <is>
          <t>https://attack.mitre.org/techniques/T1547</t>
        </is>
      </c>
    </row>
    <row r="149" ht="180.55" customHeight="1" s="7">
      <c r="A149" s="16" t="inlineStr">
        <is>
          <t>Persistence</t>
        </is>
      </c>
      <c r="B149" s="16" t="inlineStr">
        <is>
          <t>T1547</t>
        </is>
      </c>
      <c r="C149" s="16" t="inlineStr">
        <is>
          <t>Boot or Logon Autostart Execution</t>
        </is>
      </c>
      <c r="D149" s="16" t="inlineStr">
        <is>
          <t>T1547.006</t>
        </is>
      </c>
      <c r="E149" s="16" t="inlineStr">
        <is>
          <t>Kernel Modules and Extensions</t>
        </is>
      </c>
      <c r="F149" s="16" t="inlineStr">
        <is>
          <t>Partial</t>
        </is>
      </c>
      <c r="G149" s="16" t="inlineStr">
        <is>
          <t>DID services are mainly delivered through the web and applications, so there is almost no direct relation to OS boot; however, threats can arise from the auto-start of apps such as DID wallets.</t>
        </is>
      </c>
      <c r="H149"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49"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49"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49" s="16" t="n"/>
      <c r="L149" s="16" t="inlineStr">
        <is>
          <t>https://attack.mitre.org/techniques/T1547</t>
        </is>
      </c>
    </row>
    <row r="150" ht="180.55" customHeight="1" s="7">
      <c r="A150" s="16" t="inlineStr">
        <is>
          <t>Persistence</t>
        </is>
      </c>
      <c r="B150" s="16" t="inlineStr">
        <is>
          <t>T1547</t>
        </is>
      </c>
      <c r="C150" s="16" t="inlineStr">
        <is>
          <t>Boot or Logon Autostart Execution</t>
        </is>
      </c>
      <c r="D150" s="16" t="inlineStr">
        <is>
          <t>T1547.007</t>
        </is>
      </c>
      <c r="E150" s="16" t="inlineStr">
        <is>
          <t>Re-opened Applications</t>
        </is>
      </c>
      <c r="F150" s="16" t="inlineStr">
        <is>
          <t>Partial</t>
        </is>
      </c>
      <c r="G150" s="16" t="inlineStr">
        <is>
          <t>DID services are mainly delivered through the web and applications, so there is almost no direct relation to OS boot; however, threats can arise from the auto-start of apps such as DID wallets.</t>
        </is>
      </c>
      <c r="H150"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0"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0"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0" s="16" t="n"/>
      <c r="L150" s="16" t="inlineStr">
        <is>
          <t>https://attack.mitre.org/techniques/T1547</t>
        </is>
      </c>
    </row>
    <row r="151" ht="180.55" customHeight="1" s="7">
      <c r="A151" s="16" t="inlineStr">
        <is>
          <t>Persistence</t>
        </is>
      </c>
      <c r="B151" s="16" t="inlineStr">
        <is>
          <t>T1547</t>
        </is>
      </c>
      <c r="C151" s="16" t="inlineStr">
        <is>
          <t>Boot or Logon Autostart Execution</t>
        </is>
      </c>
      <c r="D151" s="16" t="inlineStr">
        <is>
          <t>T1547.008</t>
        </is>
      </c>
      <c r="E151" s="16" t="inlineStr">
        <is>
          <t>LSASS Driver</t>
        </is>
      </c>
      <c r="F151" s="16" t="inlineStr">
        <is>
          <t>Partial</t>
        </is>
      </c>
      <c r="G151" s="16" t="inlineStr">
        <is>
          <t>DID services are mainly delivered through the web and applications, so there is almost no direct relation to OS boot; however, threats can arise from the auto-start of apps such as DID wallets.</t>
        </is>
      </c>
      <c r="H151"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1"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1"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1" s="16" t="n"/>
      <c r="L151" s="16" t="inlineStr">
        <is>
          <t>https://attack.mitre.org/techniques/T1547</t>
        </is>
      </c>
    </row>
    <row r="152" ht="180.55" customHeight="1" s="7">
      <c r="A152" s="16" t="inlineStr">
        <is>
          <t>Persistence</t>
        </is>
      </c>
      <c r="B152" s="16" t="inlineStr">
        <is>
          <t>T1547</t>
        </is>
      </c>
      <c r="C152" s="16" t="inlineStr">
        <is>
          <t>Boot or Logon Autostart Execution</t>
        </is>
      </c>
      <c r="D152" s="16" t="inlineStr">
        <is>
          <t>T1547.009</t>
        </is>
      </c>
      <c r="E152" s="16" t="inlineStr">
        <is>
          <t>Shortcut Modification</t>
        </is>
      </c>
      <c r="F152" s="16" t="inlineStr">
        <is>
          <t>Partial</t>
        </is>
      </c>
      <c r="G152" s="16" t="inlineStr">
        <is>
          <t>DID services are mainly delivered through the web and applications, so there is almost no direct relation to OS boot; however, threats can arise from the auto-start of apps such as DID wallets.</t>
        </is>
      </c>
      <c r="H152"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2"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2"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2" s="16" t="n"/>
      <c r="L152" s="16" t="inlineStr">
        <is>
          <t>https://attack.mitre.org/techniques/T1547</t>
        </is>
      </c>
    </row>
    <row r="153" ht="180.55" customHeight="1" s="7">
      <c r="A153" s="16" t="inlineStr">
        <is>
          <t>Persistence</t>
        </is>
      </c>
      <c r="B153" s="16" t="inlineStr">
        <is>
          <t>T1547</t>
        </is>
      </c>
      <c r="C153" s="16" t="inlineStr">
        <is>
          <t>Boot or Logon Autostart Execution</t>
        </is>
      </c>
      <c r="D153" s="16" t="inlineStr">
        <is>
          <t>T1547.010</t>
        </is>
      </c>
      <c r="E153" s="16" t="inlineStr">
        <is>
          <t>Port Monitors</t>
        </is>
      </c>
      <c r="F153" s="16" t="inlineStr">
        <is>
          <t>Partial</t>
        </is>
      </c>
      <c r="G153" s="16" t="inlineStr">
        <is>
          <t>DID services are mainly delivered through the web and applications, so there is almost no direct relation to OS boot; however, threats can arise from the auto-start of apps such as DID wallets.</t>
        </is>
      </c>
      <c r="H153"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3"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3"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3" s="16" t="n"/>
      <c r="L153" s="16" t="inlineStr">
        <is>
          <t>https://attack.mitre.org/techniques/T1547</t>
        </is>
      </c>
    </row>
    <row r="154" ht="180.55" customHeight="1" s="7">
      <c r="A154" s="16" t="inlineStr">
        <is>
          <t>Persistence</t>
        </is>
      </c>
      <c r="B154" s="16" t="inlineStr">
        <is>
          <t>T1547</t>
        </is>
      </c>
      <c r="C154" s="16" t="inlineStr">
        <is>
          <t>Boot or Logon Autostart Execution</t>
        </is>
      </c>
      <c r="D154" s="16" t="inlineStr">
        <is>
          <t>T1547.012</t>
        </is>
      </c>
      <c r="E154" s="16" t="inlineStr">
        <is>
          <t>Print Processors</t>
        </is>
      </c>
      <c r="F154" s="16" t="inlineStr">
        <is>
          <t>Partial</t>
        </is>
      </c>
      <c r="G154" s="16" t="inlineStr">
        <is>
          <t>DID services are mainly delivered through the web and applications, so there is almost no direct relation to OS boot; however, threats can arise from the auto-start of apps such as DID wallets.</t>
        </is>
      </c>
      <c r="H154"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4"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4"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4" s="16" t="n"/>
      <c r="L154" s="16" t="inlineStr">
        <is>
          <t>https://attack.mitre.org/techniques/T1547</t>
        </is>
      </c>
    </row>
    <row r="155" ht="180.55" customHeight="1" s="7">
      <c r="A155" s="16" t="inlineStr">
        <is>
          <t>Persistence</t>
        </is>
      </c>
      <c r="B155" s="16" t="inlineStr">
        <is>
          <t>T1547</t>
        </is>
      </c>
      <c r="C155" s="16" t="inlineStr">
        <is>
          <t>Boot or Logon Autostart Execution</t>
        </is>
      </c>
      <c r="D155" s="16" t="inlineStr">
        <is>
          <t>T1547.013</t>
        </is>
      </c>
      <c r="E155" s="16" t="inlineStr">
        <is>
          <t>XDG Autostart Entries</t>
        </is>
      </c>
      <c r="F155" s="16" t="inlineStr">
        <is>
          <t>Partial</t>
        </is>
      </c>
      <c r="G155" s="16" t="inlineStr">
        <is>
          <t>DID services are mainly delivered through the web and applications, so there is almost no direct relation to OS boot; however, threats can arise from the auto-start of apps such as DID wallets.</t>
        </is>
      </c>
      <c r="H155"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5"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5"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5" s="16" t="n"/>
      <c r="L155" s="16" t="inlineStr">
        <is>
          <t>https://attack.mitre.org/techniques/T1547</t>
        </is>
      </c>
    </row>
    <row r="156" ht="180.55" customHeight="1" s="7">
      <c r="A156" s="16" t="inlineStr">
        <is>
          <t>Persistence</t>
        </is>
      </c>
      <c r="B156" s="16" t="inlineStr">
        <is>
          <t>T1547</t>
        </is>
      </c>
      <c r="C156" s="16" t="inlineStr">
        <is>
          <t>Boot or Logon Autostart Execution</t>
        </is>
      </c>
      <c r="D156" s="16" t="inlineStr">
        <is>
          <t>T1547.014</t>
        </is>
      </c>
      <c r="E156" s="16" t="inlineStr">
        <is>
          <t>Active Setup</t>
        </is>
      </c>
      <c r="F156" s="16" t="inlineStr">
        <is>
          <t>Partial</t>
        </is>
      </c>
      <c r="G156" s="16" t="inlineStr">
        <is>
          <t>DID services are mainly delivered through the web and applications, so there is almost no direct relation to OS boot; however, threats can arise from the auto-start of apps such as DID wallets.</t>
        </is>
      </c>
      <c r="H156"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6"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6"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6" s="16" t="n"/>
      <c r="L156" s="16" t="inlineStr">
        <is>
          <t>https://attack.mitre.org/techniques/T1547</t>
        </is>
      </c>
    </row>
    <row r="157" ht="180.55" customHeight="1" s="7">
      <c r="A157" s="16" t="inlineStr">
        <is>
          <t>Persistence</t>
        </is>
      </c>
      <c r="B157" s="16" t="inlineStr">
        <is>
          <t>T1547</t>
        </is>
      </c>
      <c r="C157" s="16" t="inlineStr">
        <is>
          <t>Boot or Logon Autostart Execution</t>
        </is>
      </c>
      <c r="D157" s="16" t="inlineStr">
        <is>
          <t>T1547.015</t>
        </is>
      </c>
      <c r="E157" s="16" t="inlineStr">
        <is>
          <t>Login Items</t>
        </is>
      </c>
      <c r="F157" s="16" t="inlineStr">
        <is>
          <t>Partial</t>
        </is>
      </c>
      <c r="G157" s="16" t="inlineStr">
        <is>
          <t>DID services are mainly delivered through the web and applications, so there is almost no direct relation to OS boot; however, threats can arise from the auto-start of apps such as DID wallets.</t>
        </is>
      </c>
      <c r="H157" s="16" t="inlineStr">
        <is>
          <t>1. Performs automatic execution: programs run automatically at system start or user login.
2. Background execution: activity begins in the background without explicit execution by the user.
3. Because it uses legitimate OS auto-start mechanisms, it does not arouse suspicion and can bypass security policies and systems.
4. Even after a system restart, it runs automatically at OS boot and can therefore remain active.</t>
        </is>
      </c>
      <c r="I157" s="16" t="inlineStr">
        <is>
          <t>- Conventionally, the attack is performed at the OS kernel/system level, whereas DID mainly operates in browsers/applications.
- Conventionally, the attacker can perform the attack only after obtaining administrator privileges, whereas in DID OS administrator privileges are not needed.
- To detect the attack, the conventional case requires monitoring the system itself, whereas DID only requires a monitoring system at the browser/application level (somewhat simpler).
- The conventional attack runs at the OS level and can threaten the entire system, whereas applied to DID it runs only in a specific browser/application, so its impact is somewhat lower than that of the conventional attack.</t>
        </is>
      </c>
      <c r="J157" s="16" t="inlineStr">
        <is>
          <t>1. When a DID browser/application starts, a filtering security mechanism such as monitoring or whitelisting will be needed.
2. Privilege management of DID wallet browser/app systems needs to be reinforced so that errors in which administrator privileges are executed automatically do not occur.</t>
        </is>
      </c>
      <c r="K157" s="16" t="n"/>
      <c r="L157" s="16" t="inlineStr">
        <is>
          <t>https://attack.mitre.org/techniques/T1547</t>
        </is>
      </c>
    </row>
    <row r="158" ht="113.4" customHeight="1" s="7">
      <c r="A158" s="16" t="inlineStr">
        <is>
          <t>Persistence</t>
        </is>
      </c>
      <c r="B158" s="16" t="inlineStr">
        <is>
          <t>T1037</t>
        </is>
      </c>
      <c r="C158" s="16" t="inlineStr">
        <is>
          <t>Boot or Logon Initialization Scripts</t>
        </is>
      </c>
      <c r="D158" s="16" t="inlineStr">
        <is>
          <t>T1037.001</t>
        </is>
      </c>
      <c r="E158" s="16" t="inlineStr">
        <is>
          <t>Logon Script (Windows)</t>
        </is>
      </c>
      <c r="F158" s="16" t="inlineStr">
        <is>
          <t>Partial</t>
        </is>
      </c>
      <c r="G158" s="16" t="inlineStr">
        <is>
          <t>Because DID is a web-based service, it has no direct relation to OS initialization scripts.</t>
        </is>
      </c>
      <c r="H158" s="16" t="inlineStr">
        <is>
          <t>1. Malicious scripts can run automatically when a system or user session is initialized.
2. The attack is carried out as automated tasks via shell scripts, batch files, etc.
3. It can be configured through system and user environment variables and path settings.</t>
        </is>
      </c>
      <c r="I158" s="16" t="inlineStr">
        <is>
          <t>- The conventional attack executes automatically at OS boot or login initialization, whereas in DID it executes automatically when the web application loads.
- Scripting language difference: conventionally Bash, PowerShell, and batch; in DID, JavaScript and TypeScript.
- Attack execution scope: the conventional attack covers the entire system, whereas in DID it covers the application environment.</t>
        </is>
      </c>
      <c r="J158" s="16" t="inlineStr">
        <is>
          <t>-</t>
        </is>
      </c>
      <c r="K158" s="16" t="n"/>
      <c r="L158" s="16" t="inlineStr">
        <is>
          <t>https://attack.mitre.org/techniques/T1037</t>
        </is>
      </c>
    </row>
    <row r="159" ht="113.4" customHeight="1" s="7">
      <c r="A159" s="16" t="inlineStr">
        <is>
          <t>Persistence</t>
        </is>
      </c>
      <c r="B159" s="16" t="inlineStr">
        <is>
          <t>T1037</t>
        </is>
      </c>
      <c r="C159" s="16" t="inlineStr">
        <is>
          <t>Boot or Logon Initialization Scripts</t>
        </is>
      </c>
      <c r="D159" s="16" t="inlineStr">
        <is>
          <t>T1037.002</t>
        </is>
      </c>
      <c r="E159" s="16" t="inlineStr">
        <is>
          <t>Login Hook</t>
        </is>
      </c>
      <c r="F159" s="16" t="inlineStr">
        <is>
          <t>Partial</t>
        </is>
      </c>
      <c r="G159" s="16" t="inlineStr">
        <is>
          <t>Because DID is a web-based service, it has no direct relation to OS initialization scripts.</t>
        </is>
      </c>
      <c r="H159" s="16" t="inlineStr">
        <is>
          <t>1. Malicious scripts can run automatically when a system or user session is initialized.
2. The attack is carried out as automated tasks via shell scripts, batch files, etc.
3. It can be configured through system and user environment variables and path settings.</t>
        </is>
      </c>
      <c r="I159" s="16" t="inlineStr">
        <is>
          <t>- The conventional attack executes automatically at OS boot or login initialization, whereas in DID it executes automatically when the web application loads.
- Scripting language difference: conventionally Bash, PowerShell, and batch; in DID, JavaScript and TypeScript.
- Attack execution scope: the conventional attack covers the entire system, whereas in DID it covers the application environment.</t>
        </is>
      </c>
      <c r="J159" s="16" t="inlineStr">
        <is>
          <t>-</t>
        </is>
      </c>
      <c r="K159" s="16" t="n"/>
      <c r="L159" s="16" t="inlineStr">
        <is>
          <t>https://attack.mitre.org/techniques/T1037</t>
        </is>
      </c>
    </row>
    <row r="160" ht="113.4" customHeight="1" s="7">
      <c r="A160" s="16" t="inlineStr">
        <is>
          <t>Persistence</t>
        </is>
      </c>
      <c r="B160" s="16" t="inlineStr">
        <is>
          <t>T1037</t>
        </is>
      </c>
      <c r="C160" s="16" t="inlineStr">
        <is>
          <t>Boot or Logon Initialization Scripts</t>
        </is>
      </c>
      <c r="D160" s="16" t="inlineStr">
        <is>
          <t>T1037.003</t>
        </is>
      </c>
      <c r="E160" s="16" t="inlineStr">
        <is>
          <t>Network Logon Script</t>
        </is>
      </c>
      <c r="F160" s="16" t="inlineStr">
        <is>
          <t>Partial</t>
        </is>
      </c>
      <c r="G160" s="16" t="inlineStr">
        <is>
          <t>Because DID is a web-based service, it has no direct relation to OS initialization scripts.</t>
        </is>
      </c>
      <c r="H160" s="16" t="inlineStr">
        <is>
          <t>1. Malicious scripts can run automatically when a system or user session is initialized.
2. The attack is carried out as automated tasks via shell scripts, batch files, etc.
3. It can be configured through system and user environment variables and path settings.</t>
        </is>
      </c>
      <c r="I160" s="16" t="inlineStr">
        <is>
          <t>- The conventional attack executes automatically at OS boot or login initialization, whereas in DID it executes automatically when the web application loads.
- Scripting language difference: conventionally Bash, PowerShell, and batch; in DID, JavaScript and TypeScript.
- Attack execution scope: the conventional attack covers the entire system, whereas in DID it covers the application environment.</t>
        </is>
      </c>
      <c r="J160" s="16" t="inlineStr">
        <is>
          <t>-</t>
        </is>
      </c>
      <c r="K160" s="16" t="n"/>
      <c r="L160" s="16" t="inlineStr">
        <is>
          <t>https://attack.mitre.org/techniques/T1037</t>
        </is>
      </c>
    </row>
    <row r="161" ht="113.4" customHeight="1" s="7">
      <c r="A161" s="16" t="inlineStr">
        <is>
          <t>Persistence</t>
        </is>
      </c>
      <c r="B161" s="16" t="inlineStr">
        <is>
          <t>T1037</t>
        </is>
      </c>
      <c r="C161" s="16" t="inlineStr">
        <is>
          <t>Boot or Logon Initialization Scripts</t>
        </is>
      </c>
      <c r="D161" s="16" t="inlineStr">
        <is>
          <t>T1037.004</t>
        </is>
      </c>
      <c r="E161" s="16" t="inlineStr">
        <is>
          <t>RC Scripts</t>
        </is>
      </c>
      <c r="F161" s="16" t="inlineStr">
        <is>
          <t>Partial</t>
        </is>
      </c>
      <c r="G161" s="16" t="inlineStr">
        <is>
          <t>Because DID is a web-based service, it has no direct relation to OS initialization scripts.</t>
        </is>
      </c>
      <c r="H161" s="16" t="inlineStr">
        <is>
          <t>1. Malicious scripts can run automatically when a system or user session is initialized.
2. The attack is carried out as automated tasks via shell scripts, batch files, etc.
3. It can be configured through system and user environment variables and path settings.</t>
        </is>
      </c>
      <c r="I161" s="16" t="inlineStr">
        <is>
          <t>- The conventional attack executes automatically at OS boot or login initialization, whereas in DID it executes automatically when the web application loads.
- Scripting language difference: conventionally Bash, PowerShell, and batch; in DID, JavaScript and TypeScript.
- Attack execution scope: the conventional attack covers the entire system, whereas in DID it covers the application environment.</t>
        </is>
      </c>
      <c r="J161" s="16" t="inlineStr">
        <is>
          <t>-</t>
        </is>
      </c>
      <c r="K161" s="16" t="n"/>
      <c r="L161" s="16" t="inlineStr">
        <is>
          <t>https://attack.mitre.org/techniques/T1037</t>
        </is>
      </c>
    </row>
    <row r="162" ht="113.4" customHeight="1" s="7">
      <c r="A162" s="16" t="inlineStr">
        <is>
          <t>Persistence</t>
        </is>
      </c>
      <c r="B162" s="16" t="inlineStr">
        <is>
          <t>T1037</t>
        </is>
      </c>
      <c r="C162" s="16" t="inlineStr">
        <is>
          <t>Boot or Logon Initialization Scripts</t>
        </is>
      </c>
      <c r="D162" s="16" t="inlineStr">
        <is>
          <t>T1037.005</t>
        </is>
      </c>
      <c r="E162" s="16" t="inlineStr">
        <is>
          <t>Startup Items</t>
        </is>
      </c>
      <c r="F162" s="16" t="inlineStr">
        <is>
          <t>Partial</t>
        </is>
      </c>
      <c r="G162" s="16" t="inlineStr">
        <is>
          <t>Because DID is a web-based service, it has no direct relation to OS initialization scripts.</t>
        </is>
      </c>
      <c r="H162" s="16" t="inlineStr">
        <is>
          <t>1. Malicious scripts can run automatically when a system or user session is initialized.
2. The attack is carried out as automated tasks via shell scripts, batch files, etc.
3. It can be configured through system and user environment variables and path settings.</t>
        </is>
      </c>
      <c r="I162" s="16" t="inlineStr">
        <is>
          <t>- The conventional attack executes automatically at OS boot or login initialization, whereas in DID it executes automatically when the web application loads.
- Scripting language difference: conventionally Bash, PowerShell, and batch; in DID, JavaScript and TypeScript.
- Attack execution scope: the conventional attack covers the entire system, whereas in DID it covers the application environment.</t>
        </is>
      </c>
      <c r="J162" s="16" t="inlineStr">
        <is>
          <t>-</t>
        </is>
      </c>
      <c r="K162" s="16" t="n"/>
      <c r="L162" s="16" t="inlineStr">
        <is>
          <t>https://attack.mitre.org/techniques/T1037</t>
        </is>
      </c>
    </row>
    <row r="163" ht="202.95" customHeight="1" s="7">
      <c r="A163" s="16" t="inlineStr">
        <is>
          <t>Persistence</t>
        </is>
      </c>
      <c r="B163" s="16" t="inlineStr">
        <is>
          <t>T1671</t>
        </is>
      </c>
      <c r="C163" s="16" t="inlineStr">
        <is>
          <t>Cloud Application Integration</t>
        </is>
      </c>
      <c r="D163" s="16" t="n"/>
      <c r="E163" s="16" t="n"/>
      <c r="F163" s="16" t="inlineStr">
        <is>
          <t>Partial</t>
        </is>
      </c>
      <c r="G163" s="16" t="inlineStr">
        <is>
          <t>The threat can exist when integrating DID-based OAuth (Open Authorization); security risks can arise during application integration in the DID ecosystem.</t>
        </is>
      </c>
      <c r="H163" s="16" t="inlineStr">
        <is>
          <t>1. It abuses application integration, specifically third-party application integration mechanisms.
2. Application permissions granted by the user are not used as intended.
3. Permissions are obtained by gaining the user's trust while masquerading as a legitimate app.
4. User data are accessed through cloud service APIs.</t>
        </is>
      </c>
      <c r="I163" s="16" t="inlineStr">
        <is>
          <t>- Different authorization methods: conventionally a centralized OAuth 2.0 server, whereas DID uses authorization proofs via Verifiable Presentations (VP; when a Holder submits VCs to a verifier, the Holder packages them into a VP containing only the data and VCs the Verifier needs rather than sending all of its data).
- Difference in permission scope: conventionally static permissions based on OAuth scopes, whereas DID has dynamic, fine-grained permissions in VCs.
- Centralization versus decentralization: conventionally tokens are invalidated at a centralized OAuth 2.0 server, whereas DID manages revocation lists for distributed VCs.
- Tracing method: conventionally central API gateway logs are traced, whereas DID traces distributed blockchain transaction records.</t>
        </is>
      </c>
      <c r="J163" s="16" t="inlineStr">
        <is>
          <t>1. When integrating DID-based OAuth, PKCE (Proof Key for Code Exchange), which is used in OAuth, should also be applied to DID. PKCE is a technique that OAuth 2.1 mandates to strengthen the security of the code exchange when the Authorization Code Flow is used.
2. An integrated monitoring system is needed, with integrated risk assessment metrics and detection of API call patterns.
3. Renew permissions periodically and automatically revoke unnecessary permissions to prevent permission abuse.</t>
        </is>
      </c>
      <c r="K163" s="16" t="n"/>
      <c r="L163" s="16" t="inlineStr">
        <is>
          <t>https://attack.mitre.org/techniques/T1671</t>
        </is>
      </c>
    </row>
    <row r="164" ht="124.6" customHeight="1" s="7">
      <c r="A164" s="16" t="inlineStr">
        <is>
          <t>Persistence</t>
        </is>
      </c>
      <c r="B164" s="16" t="inlineStr">
        <is>
          <t>T1554</t>
        </is>
      </c>
      <c r="C164" s="16" t="inlineStr">
        <is>
          <t>Compromise Host Software Binary</t>
        </is>
      </c>
      <c r="D164" s="16" t="n"/>
      <c r="E164" s="16" t="n"/>
      <c r="F164" s="16" t="inlineStr">
        <is>
          <t>No</t>
        </is>
      </c>
      <c r="G164" s="16" t="inlineStr">
        <is>
          <t>- DID is a web-based technology that uses web resources such as HTML, CSS, and JavaScript and rarely uses native binaries (.exe, .so, .dylib).
- DID implementations are centered on interpreted languages such as JavaScript (Node.js) and Python and rarely use binaries compiled from C/C++.
- Mobile first: most DID users use mobile apps, and binary manipulation is nearly impossible owing to App Store code signing on iOS and APK signing on Android.
- Most DID services run as containers or serverless functions in cloud environments, so there is no traditional binary installation/execution process.</t>
        </is>
      </c>
      <c r="H164" s="16" t="inlineStr">
        <is>
          <t>1. Software manipulation: modifying the executables of legitimate applications.
2. Malicious functions are performed without the user's awareness.
3. Malicious code is activated each time the software runs.
4. The malware is disguised as software the user trusts.
5. Detection evasion: it runs alongside legitimate software functions, making it hard to distinguish.</t>
        </is>
      </c>
      <c r="I164" s="16" t="inlineStr">
        <is>
          <t>- File format difference: conventionally native binaries (.exe, .so), whereas DID uses web resources (HTML, JS, CSS).
- Conventionally executed directly by the OS, whereas DID is executed by the browser's JavaScript engine.</t>
        </is>
      </c>
      <c r="J164" s="16" t="inlineStr">
        <is>
          <t>-</t>
        </is>
      </c>
      <c r="K164" s="16" t="n"/>
      <c r="L164" s="16" t="inlineStr">
        <is>
          <t>https://attack.mitre.org/techniques/T1554</t>
        </is>
      </c>
    </row>
    <row r="165" ht="258.95" customHeight="1" s="7">
      <c r="A165" s="16" t="inlineStr">
        <is>
          <t>Persistence</t>
        </is>
      </c>
      <c r="B165" s="16" t="inlineStr">
        <is>
          <t>T1136</t>
        </is>
      </c>
      <c r="C165" s="16" t="inlineStr">
        <is>
          <t>Create Account</t>
        </is>
      </c>
      <c r="D165" s="16" t="inlineStr">
        <is>
          <t>T1136.001</t>
        </is>
      </c>
      <c r="E165" s="16" t="inlineStr">
        <is>
          <t>Local Account</t>
        </is>
      </c>
      <c r="F165" s="16" t="inlineStr">
        <is>
          <t>Full</t>
        </is>
      </c>
      <c r="G165" s="16" t="inlineStr">
        <is>
          <t>- Similarity to the DID structure: DID is a self-sovereign identity that anyone can freely create; it can be created immediately, without a central approval authority, simply by following the method-specific algorithm such as did:key, did:ethr, or did:ion.
- Vulnerability to Sybil attacks: a single attacker can create thousands to tens of thousands of DIDs to manipulate network voting, launch DoS attacks on VC issuance systems, damage the system's reputation, etc., directly exposing a fundamental vulnerability of distributed systems (a Sybil attack is a type of attack on a computer network service in which the attacker creates many pseudonymous identities to subvert the service's reputation system and uses them to gain disproportionately large influence).
- Ease of account creation: DID creation follows a standardized process (key generation → DID Document creation → network registration) and can be fully automated; it can be implemented simply with libraries such as Web3.js and ethers.js.
- Difficulty of detecting attacker-created accounts: tracing mass creation is nearly impossible when IP spoofing or the Tor network is used; blockchain-based DIDs can be partly detected through transaction pattern analysis, but did:key is created off-chain and may be completely hidden.
- Traffic overload attacks: mass VC requests using the created fake DIDs overload Issuer systems, and secondary damage such as fake review/rating manipulation spreads.</t>
        </is>
      </c>
      <c r="H165" s="16" t="inlineStr">
        <is>
          <t>1. Creation of new accounts (or IDs): gaining access by adding new user accounts/identities to an existing system.
2. Granting privileges to new accounts: by granting newly created accounts the basic or specific privileges needed for system access, IDs, VCs, etc. can be stolen or abused.
3. Difficulty of detecting the attacker: accounts are created in ways that existing users or administrators can hardly notice (account creation itself is not detected as an attack).
4. Easy extension of attack methods: abused as an auxiliary means of access when the primary attack path is blocked.</t>
        </is>
      </c>
      <c r="I165" s="16" t="inlineStr">
        <is>
          <t>- Who holds creation rights: conventionally, system administrators mainly grant them, whereas anyone can create a DID.
- Registration difference: conventionally, accounts are registered directly in an LDAP/AD server, whereas DIDs are registered in a distributed manner on a blockchain network.
- Cost: conventionally free or subject to administrator approval, whereas DID requires blockchain transaction fees (gas).
- Anonymity: conventionally, IP addresses and system logs can be traced, whereas DID is hard to trace owing to pseudonymity.
- Limits on account creation: conventionally, the number of account creations is limited by system policy, whereas DIDs may, for now, be created without limit and without technical restrictions.</t>
        </is>
      </c>
      <c r="J165" s="16" t="inlineStr">
        <is>
          <t>1. DID creation monitoring is needed: a monitoring scheme is needed that detects mass creation from a single IP and sets thresholds on abnormal creation rates to watch for abnormally large numbers of accounts being created.
2. Stronger identity verification: email/SMS verification and integration with KYC processes (KYC, Know Your Customer: the process of accurately identifying who the customer using the service is and determining whether that person is eligible to transact).
3. Restrictions on new DIDs: a 24-hour cooling period and restrictions on initial activity (a cooling period refers to a contract-withdrawal guarantee period; in DID systems it can be applied to, e.g., withdrawal of DID creation).</t>
        </is>
      </c>
      <c r="K165" s="16" t="n"/>
      <c r="L165" s="16" t="inlineStr">
        <is>
          <t>https://attack.mitre.org/techniques/T1136</t>
        </is>
      </c>
    </row>
    <row r="166" ht="258.95" customHeight="1" s="7">
      <c r="A166" s="16" t="inlineStr">
        <is>
          <t>Persistence</t>
        </is>
      </c>
      <c r="B166" s="16" t="inlineStr">
        <is>
          <t>T1136</t>
        </is>
      </c>
      <c r="C166" s="16" t="inlineStr">
        <is>
          <t>Create Account</t>
        </is>
      </c>
      <c r="D166" s="16" t="inlineStr">
        <is>
          <t>T1136.002</t>
        </is>
      </c>
      <c r="E166" s="16" t="inlineStr">
        <is>
          <t>Domain Account</t>
        </is>
      </c>
      <c r="F166" s="16" t="inlineStr">
        <is>
          <t>Full</t>
        </is>
      </c>
      <c r="G166" s="16" t="inlineStr">
        <is>
          <t>- Similarity to the DID structure: DID is a self-sovereign identity that anyone can freely create; it can be created immediately, without a central approval authority, simply by following the method-specific algorithm such as did:key, did:ethr, or did:ion.
- Vulnerability to Sybil attacks: a single attacker can create thousands to tens of thousands of DIDs to manipulate network voting, launch DoS attacks on VC issuance systems, damage the system's reputation, etc., directly exposing a fundamental vulnerability of distributed systems (a Sybil attack is a type of attack on a computer network service in which the attacker creates many pseudonymous identities to subvert the service's reputation system and uses them to gain disproportionately large influence).
- Ease of account creation: DID creation follows a standardized process (key generation → DID Document creation → network registration) and can be fully automated; it can be implemented simply with libraries such as Web3.js and ethers.js.
- Difficulty of detecting attacker-created accounts: tracing mass creation is nearly impossible when IP spoofing or the Tor network is used; blockchain-based DIDs can be partly detected through transaction pattern analysis, but did:key is created off-chain and may be completely hidden.
- Traffic overload attacks: mass VC requests using the created fake DIDs overload Issuer systems, and secondary damage such as fake review/rating manipulation spreads.</t>
        </is>
      </c>
      <c r="H166" s="16" t="inlineStr">
        <is>
          <t>1. Creation of new accounts (or IDs): gaining access by adding new user accounts/identities to an existing system.
2. Granting privileges to new accounts: by granting newly created accounts the basic or specific privileges needed for system access, IDs, VCs, etc. can be stolen or abused.
3. Difficulty of detecting the attacker: accounts are created in ways that existing users or administrators can hardly notice (account creation itself is not detected as an attack).
4. Easy extension of attack methods: abused as an auxiliary means of access when the primary attack path is blocked.</t>
        </is>
      </c>
      <c r="I166" s="16" t="inlineStr">
        <is>
          <t>- Who holds creation rights: conventionally, system administrators mainly grant them, whereas anyone can create a DID.
- Registration difference: conventionally, accounts are registered directly in an LDAP/AD server, whereas DIDs are registered in a distributed manner on a blockchain network.
- Cost: conventionally free or subject to administrator approval, whereas DID requires blockchain transaction fees (gas).
- Anonymity: conventionally, IP addresses and system logs can be traced, whereas DID is hard to trace owing to pseudonymity.
- Limits on account creation: conventionally, the number of account creations is limited by system policy, whereas DIDs may, for now, be created without limit and without technical restrictions.</t>
        </is>
      </c>
      <c r="J166" s="16" t="inlineStr">
        <is>
          <t>1. DID creation monitoring is needed: a monitoring scheme is needed that detects mass creation from a single IP and sets thresholds on abnormal creation rates to watch for abnormally large numbers of accounts being created.
2. Stronger identity verification: email/SMS verification and integration with KYC processes (KYC, Know Your Customer: the process of accurately identifying who the customer using the service is and determining whether that person is eligible to transact).
3. Restrictions on new DIDs: a 24-hour cooling period and restrictions on initial activity (a cooling period refers to a contract-withdrawal guarantee period; in DID systems it can be applied to, e.g., withdrawal of DID creation).</t>
        </is>
      </c>
      <c r="K166" s="16" t="n"/>
      <c r="L166" s="16" t="inlineStr">
        <is>
          <t>https://attack.mitre.org/techniques/T1136</t>
        </is>
      </c>
    </row>
    <row r="167" ht="258.95" customHeight="1" s="7">
      <c r="A167" s="16" t="inlineStr">
        <is>
          <t>Persistence</t>
        </is>
      </c>
      <c r="B167" s="16" t="inlineStr">
        <is>
          <t>T1136</t>
        </is>
      </c>
      <c r="C167" s="16" t="inlineStr">
        <is>
          <t>Create Account</t>
        </is>
      </c>
      <c r="D167" s="16" t="inlineStr">
        <is>
          <t>T1136.003</t>
        </is>
      </c>
      <c r="E167" s="16" t="inlineStr">
        <is>
          <t>Cloud Account</t>
        </is>
      </c>
      <c r="F167" s="16" t="inlineStr">
        <is>
          <t>Full</t>
        </is>
      </c>
      <c r="G167" s="16" t="inlineStr">
        <is>
          <t>- Similarity to the DID structure: DID is a self-sovereign identity that anyone can freely create; it can be created immediately, without a central approval authority, simply by following the method-specific algorithm such as did:key, did:ethr, or did:ion.
- Vulnerability to Sybil attacks: a single attacker can create thousands to tens of thousands of DIDs to manipulate network voting, launch DoS attacks on VC issuance systems, damage the system's reputation, etc., directly exposing a fundamental vulnerability of distributed systems (a Sybil attack is a type of attack on a computer network service in which the attacker creates many pseudonymous identities to subvert the service's reputation system and uses them to gain disproportionately large influence).
- Ease of account creation: DID creation follows a standardized process (key generation → DID Document creation → network registration) and can be fully automated; it can be implemented simply with libraries such as Web3.js and ethers.js.
- Difficulty of detecting attacker-created accounts: tracing mass creation is nearly impossible when IP spoofing or the Tor network is used; blockchain-based DIDs can be partly detected through transaction pattern analysis, but did:key is created off-chain and may be completely hidden.
- Traffic overload attacks: mass VC requests using the created fake DIDs overload Issuer systems, and secondary damage such as fake review/rating manipulation spreads.</t>
        </is>
      </c>
      <c r="H167" s="16" t="inlineStr">
        <is>
          <t>1. Creation of new accounts (or IDs): gaining access by adding new user accounts/identities to an existing system.
2. Granting privileges to new accounts: by granting newly created accounts the basic or specific privileges needed for system access, IDs, VCs, etc. can be stolen or abused.
3. Difficulty of detecting the attacker: accounts are created in ways that existing users or administrators can hardly notice (account creation itself is not detected as an attack).
4. Easy extension of attack methods: abused as an auxiliary means of access when the primary attack path is blocked.</t>
        </is>
      </c>
      <c r="I167" s="16" t="inlineStr">
        <is>
          <t>- Who holds creation rights: conventionally, system administrators mainly grant them, whereas anyone can create a DID.
- Registration difference: conventionally, accounts are registered directly in an LDAP/AD server, whereas DIDs are registered in a distributed manner on a blockchain network.
- Cost: conventionally free or subject to administrator approval, whereas DID requires blockchain transaction fees (gas).
- Anonymity: conventionally, IP addresses and system logs can be traced, whereas DID is hard to trace owing to pseudonymity.
- Limits on account creation: conventionally, the number of account creations is limited by system policy, whereas DIDs may, for now, be created without limit and without technical restrictions.</t>
        </is>
      </c>
      <c r="J167" s="16" t="inlineStr">
        <is>
          <t>1. DID creation monitoring is needed: a monitoring scheme is needed that detects mass creation from a single IP and sets thresholds on abnormal creation rates to watch for abnormally large numbers of accounts being created.
2. Stronger identity verification: email/SMS verification and integration with KYC processes (KYC, Know Your Customer: the process of accurately identifying who the customer using the service is and determining whether that person is eligible to transact).
3. Restrictions on new DIDs: a 24-hour cooling period and restrictions on initial activity (a cooling period refers to a contract-withdrawal guarantee period; in DID systems it can be applied to, e.g., withdrawal of DID creation).</t>
        </is>
      </c>
      <c r="K167" s="16" t="n"/>
      <c r="L167" s="16" t="inlineStr">
        <is>
          <t>https://attack.mitre.org/techniques/T1136</t>
        </is>
      </c>
    </row>
    <row r="168" ht="169.4" customHeight="1" s="7">
      <c r="A168" s="16" t="inlineStr">
        <is>
          <t>Persistence</t>
        </is>
      </c>
      <c r="B168" s="16" t="inlineStr">
        <is>
          <t>T1543</t>
        </is>
      </c>
      <c r="C168" s="16" t="inlineStr">
        <is>
          <t>Create or Modify System Process</t>
        </is>
      </c>
      <c r="D168" s="16" t="inlineStr">
        <is>
          <t>T1543.001</t>
        </is>
      </c>
      <c r="E168" s="16" t="inlineStr">
        <is>
          <t>Launch Agent</t>
        </is>
      </c>
      <c r="F168" s="16" t="inlineStr">
        <is>
          <t>Partial</t>
        </is>
      </c>
      <c r="G168" s="16" t="inlineStr">
        <is>
          <t>- Blockchain structure: blockchain nodes such as Ethereum Geth and Besu are operated in integration with DID services; manipulating node services enables censorship of DID transactions, double spending, and creation of fake blocks.
- Applies only to DID infrastructure operators, not ordinary DID users; individual users have no privileges to create system services.
- Requires system administrator privileges and an understanding of complex DID network protocols; it is an advanced attack that is hard for ordinary hackers to carry out.
- Detection and response: service lists can be checked with the systemctl and service commands; the blockchain network's consensus mechanism limits the effect of manipulating a single node.
- Detection and response: service lists can be checked with the systemctl and service commands; the blockchain network's consensus mechanism limits the effect of manipulating a single node.</t>
        </is>
      </c>
      <c r="H168" s="16" t="inlineStr">
        <is>
          <t>1. Use of system services: runs persistently in the background through the OS service mechanism.
2. Execution with high privileges: runs with system or administrator privileges, giving broad system access.
3. Automatic start: starts automatically at system boot and becomes active without user involvement.
4. Stealth: runs in the background without a user interface, making detection difficult.
5. Persistence: keeps running despite system restarts and user logouts.</t>
        </is>
      </c>
      <c r="I168" s="16" t="inlineStr">
        <is>
          <t>- Different network ports: conventionally arbitrary ports, whereas DID uses DID standard ports (HTTP/HTTPS API endpoints).
- Protocol difference: conventionally generic IPC, whereas DID uses DID-specific protocols (JSON-RPC, GraphQL).
- Log format difference: conventionally system logs, whereas DID uses DID transaction logs and audit logs.</t>
        </is>
      </c>
      <c r="J168" s="16" t="inlineStr">
        <is>
          <t>1. DID service monitoring: detect abnormal creation/modification of DID-related system services.
2. Service privilege restriction: apply the principle of least privilege to DID services.
3. Configuration file protection: prevent unauthorized changes to DID service configuration files.
4. Network port monitoring: monitor abnormal network activity of DID services.</t>
        </is>
      </c>
      <c r="K168" s="16" t="n"/>
      <c r="L168" s="16" t="inlineStr">
        <is>
          <t>https://attack.mitre.org/techniques/T1543</t>
        </is>
      </c>
    </row>
    <row r="169" ht="169.4" customHeight="1" s="7">
      <c r="A169" s="16" t="inlineStr">
        <is>
          <t>Persistence</t>
        </is>
      </c>
      <c r="B169" s="16" t="inlineStr">
        <is>
          <t>T1543</t>
        </is>
      </c>
      <c r="C169" s="16" t="inlineStr">
        <is>
          <t>Create or Modify System Process</t>
        </is>
      </c>
      <c r="D169" s="16" t="inlineStr">
        <is>
          <t>T1543.002</t>
        </is>
      </c>
      <c r="E169" s="16" t="inlineStr">
        <is>
          <t>Systemd Service</t>
        </is>
      </c>
      <c r="F169" s="16" t="inlineStr">
        <is>
          <t>Partial</t>
        </is>
      </c>
      <c r="G169" s="16" t="inlineStr">
        <is>
          <t>- Blockchain structure: blockchain nodes such as Ethereum Geth and Besu are operated in integration with DID services; manipulating node services enables censorship of DID transactions, double spending, and creation of fake blocks.
- Applies only to DID infrastructure operators, not ordinary DID users; individual users have no privileges to create system services.
- Requires system administrator privileges and an understanding of complex DID network protocols; it is an advanced attack that is hard for ordinary hackers to carry out.
- Detection and response: service lists can be checked with the systemctl and service commands; the blockchain network's consensus mechanism limits the effect of manipulating a single node.
- Detection and response: service lists can be checked with the systemctl and service commands; the blockchain network's consensus mechanism limits the effect of manipulating a single node.</t>
        </is>
      </c>
      <c r="H169" s="16" t="inlineStr">
        <is>
          <t>1. Use of system services: runs persistently in the background through the OS service mechanism.
2. Execution with high privileges: runs with system or administrator privileges, giving broad system access.
3. Automatic start: starts automatically at system boot and becomes active without user involvement.
4. Stealth: runs in the background without a user interface, making detection difficult.
5. Persistence: keeps running despite system restarts and user logouts.</t>
        </is>
      </c>
      <c r="I169" s="16" t="inlineStr">
        <is>
          <t>- Different network ports: conventionally arbitrary ports, whereas DID uses DID standard ports (HTTP/HTTPS API endpoints).
- Protocol difference: conventionally generic IPC, whereas DID uses DID-specific protocols (JSON-RPC, GraphQL).
- Log format difference: conventionally system logs, whereas DID uses DID transaction logs and audit logs.</t>
        </is>
      </c>
      <c r="J169" s="16" t="inlineStr">
        <is>
          <t>1. DID service monitoring: detect abnormal creation/modification of DID-related system services.
2. Service privilege restriction: apply the principle of least privilege to DID services.
3. Configuration file protection: prevent unauthorized changes to DID service configuration files.
4. Network port monitoring: monitor abnormal network activity of DID services.</t>
        </is>
      </c>
      <c r="K169" s="16" t="n"/>
      <c r="L169" s="16" t="inlineStr">
        <is>
          <t>https://attack.mitre.org/techniques/T1543</t>
        </is>
      </c>
    </row>
    <row r="170" ht="169.4" customHeight="1" s="7">
      <c r="A170" s="16" t="inlineStr">
        <is>
          <t>Persistence</t>
        </is>
      </c>
      <c r="B170" s="16" t="inlineStr">
        <is>
          <t>T1543</t>
        </is>
      </c>
      <c r="C170" s="16" t="inlineStr">
        <is>
          <t>Create or Modify System Process</t>
        </is>
      </c>
      <c r="D170" s="16" t="inlineStr">
        <is>
          <t>T1543.003</t>
        </is>
      </c>
      <c r="E170" s="16" t="inlineStr">
        <is>
          <t>Windows Service</t>
        </is>
      </c>
      <c r="F170" s="16" t="inlineStr">
        <is>
          <t>Partial</t>
        </is>
      </c>
      <c r="G170" s="16" t="inlineStr">
        <is>
          <t>- Blockchain structure: blockchain nodes such as Ethereum Geth and Besu are operated in integration with DID services; manipulating node services enables censorship of DID transactions, double spending, and creation of fake blocks.
- Applies only to DID infrastructure operators, not ordinary DID users; individual users have no privileges to create system services.
- Requires system administrator privileges and an understanding of complex DID network protocols; it is an advanced attack that is hard for ordinary hackers to carry out.
- Detection and response: service lists can be checked with the systemctl and service commands; the blockchain network's consensus mechanism limits the effect of manipulating a single node.
- Detection and response: service lists can be checked with the systemctl and service commands; the blockchain network's consensus mechanism limits the effect of manipulating a single node.</t>
        </is>
      </c>
      <c r="H170" s="16" t="inlineStr">
        <is>
          <t>1. Use of system services: runs persistently in the background through the OS service mechanism.
2. Execution with high privileges: runs with system or administrator privileges, giving broad system access.
3. Automatic start: starts automatically at system boot and becomes active without user involvement.
4. Stealth: runs in the background without a user interface, making detection difficult.
5. Persistence: keeps running despite system restarts and user logouts.</t>
        </is>
      </c>
      <c r="I170" s="16" t="inlineStr">
        <is>
          <t>- Different network ports: conventionally arbitrary ports, whereas DID uses DID standard ports (HTTP/HTTPS API endpoints).
- Protocol difference: conventionally generic IPC, whereas DID uses DID-specific protocols (JSON-RPC, GraphQL).
- Log format difference: conventionally system logs, whereas DID uses DID transaction logs and audit logs.</t>
        </is>
      </c>
      <c r="J170" s="16" t="inlineStr">
        <is>
          <t>1. DID service monitoring: detect abnormal creation/modification of DID-related system services.
2. Service privilege restriction: apply the principle of least privilege to DID services.
3. Configuration file protection: prevent unauthorized changes to DID service configuration files.
4. Network port monitoring: monitor abnormal network activity of DID services.</t>
        </is>
      </c>
      <c r="K170" s="16" t="n"/>
      <c r="L170" s="16" t="inlineStr">
        <is>
          <t>https://attack.mitre.org/techniques/T1543</t>
        </is>
      </c>
    </row>
    <row r="171" ht="169.4" customHeight="1" s="7">
      <c r="A171" s="16" t="inlineStr">
        <is>
          <t>Persistence</t>
        </is>
      </c>
      <c r="B171" s="16" t="inlineStr">
        <is>
          <t>T1543</t>
        </is>
      </c>
      <c r="C171" s="16" t="inlineStr">
        <is>
          <t>Create or Modify System Process</t>
        </is>
      </c>
      <c r="D171" s="16" t="inlineStr">
        <is>
          <t>T1543.004</t>
        </is>
      </c>
      <c r="E171" s="16" t="inlineStr">
        <is>
          <t>Launch Daemon</t>
        </is>
      </c>
      <c r="F171" s="16" t="inlineStr">
        <is>
          <t>Partial</t>
        </is>
      </c>
      <c r="G171" s="16" t="inlineStr">
        <is>
          <t>- Blockchain structure: blockchain nodes such as Ethereum Geth and Besu are operated in integration with DID services; manipulating node services enables censorship of DID transactions, double spending, and creation of fake blocks.
- Applies only to DID infrastructure operators, not ordinary DID users; individual users have no privileges to create system services.
- Requires system administrator privileges and an understanding of complex DID network protocols; it is an advanced attack that is hard for ordinary hackers to carry out.
- Detection and response: service lists can be checked with the systemctl and service commands; the blockchain network's consensus mechanism limits the effect of manipulating a single node.
- Detection and response: service lists can be checked with the systemctl and service commands; the blockchain network's consensus mechanism limits the effect of manipulating a single node.</t>
        </is>
      </c>
      <c r="H171" s="16" t="inlineStr">
        <is>
          <t>1. Use of system services: runs persistently in the background through the OS service mechanism.
2. Execution with high privileges: runs with system or administrator privileges, giving broad system access.
3. Automatic start: starts automatically at system boot and becomes active without user involvement.
4. Stealth: runs in the background without a user interface, making detection difficult.
5. Persistence: keeps running despite system restarts and user logouts.</t>
        </is>
      </c>
      <c r="I171" s="16" t="inlineStr">
        <is>
          <t>- Different network ports: conventionally arbitrary ports, whereas DID uses DID standard ports (HTTP/HTTPS API endpoints).
- Protocol difference: conventionally generic IPC, whereas DID uses DID-specific protocols (JSON-RPC, GraphQL).
- Log format difference: conventionally system logs, whereas DID uses DID transaction logs and audit logs.</t>
        </is>
      </c>
      <c r="J171" s="16" t="inlineStr">
        <is>
          <t>1. DID service monitoring: detect abnormal creation/modification of DID-related system services.
2. Service privilege restriction: apply the principle of least privilege to DID services.
3. Configuration file protection: prevent unauthorized changes to DID service configuration files.
4. Network port monitoring: monitor abnormal network activity of DID services.</t>
        </is>
      </c>
      <c r="K171" s="16" t="n"/>
      <c r="L171" s="16" t="inlineStr">
        <is>
          <t>https://attack.mitre.org/techniques/T1543</t>
        </is>
      </c>
    </row>
    <row r="172" ht="169.4" customHeight="1" s="7">
      <c r="A172" s="16" t="inlineStr">
        <is>
          <t>Persistence</t>
        </is>
      </c>
      <c r="B172" s="16" t="inlineStr">
        <is>
          <t>T1543</t>
        </is>
      </c>
      <c r="C172" s="16" t="inlineStr">
        <is>
          <t>Create or Modify System Process</t>
        </is>
      </c>
      <c r="D172" s="16" t="inlineStr">
        <is>
          <t>T1543.005</t>
        </is>
      </c>
      <c r="E172" s="16" t="inlineStr">
        <is>
          <t>Container Service</t>
        </is>
      </c>
      <c r="F172" s="16" t="inlineStr">
        <is>
          <t>Partial</t>
        </is>
      </c>
      <c r="G172" s="16" t="inlineStr">
        <is>
          <t>- Blockchain structure: blockchain nodes such as Ethereum Geth and Besu are operated in integration with DID services; manipulating node services enables censorship of DID transactions, double spending, and creation of fake blocks.
- Applies only to DID infrastructure operators, not ordinary DID users; individual users have no privileges to create system services.
- Requires system administrator privileges and an understanding of complex DID network protocols; it is an advanced attack that is hard for ordinary hackers to carry out.
- Detection and response: service lists can be checked with the systemctl and service commands; the blockchain network's consensus mechanism limits the effect of manipulating a single node.
- Detection and response: service lists can be checked with the systemctl and service commands; the blockchain network's consensus mechanism limits the effect of manipulating a single node.</t>
        </is>
      </c>
      <c r="H172" s="16" t="inlineStr">
        <is>
          <t>1. Use of system services: runs persistently in the background through the OS service mechanism.
2. Execution with high privileges: runs with system or administrator privileges, giving broad system access.
3. Automatic start: starts automatically at system boot and becomes active without user involvement.
4. Stealth: runs in the background without a user interface, making detection difficult.
5. Persistence: keeps running despite system restarts and user logouts.</t>
        </is>
      </c>
      <c r="I172" s="16" t="inlineStr">
        <is>
          <t>- Different network ports: conventionally arbitrary ports, whereas DID uses DID standard ports (HTTP/HTTPS API endpoints).
- Protocol difference: conventionally generic IPC, whereas DID uses DID-specific protocols (JSON-RPC, GraphQL).
- Log format difference: conventionally system logs, whereas DID uses DID transaction logs and audit logs.</t>
        </is>
      </c>
      <c r="J172" s="16" t="inlineStr">
        <is>
          <t>1. DID service monitoring: detect abnormal creation/modification of DID-related system services.
2. Service privilege restriction: apply the principle of least privilege to DID services.
3. Configuration file protection: prevent unauthorized changes to DID service configuration files.
4. Network port monitoring: monitor abnormal network activity of DID services.</t>
        </is>
      </c>
      <c r="K172" s="16" t="n"/>
      <c r="L172" s="16" t="inlineStr">
        <is>
          <t>https://attack.mitre.org/techniques/T1543</t>
        </is>
      </c>
    </row>
    <row r="173" ht="180.55" customHeight="1" s="7">
      <c r="A173" s="16" t="inlineStr">
        <is>
          <t>Persistence</t>
        </is>
      </c>
      <c r="B173" s="16" t="inlineStr">
        <is>
          <t>T1546</t>
        </is>
      </c>
      <c r="C173" s="16" t="inlineStr">
        <is>
          <t>Event Triggered Execution</t>
        </is>
      </c>
      <c r="D173" s="16" t="inlineStr">
        <is>
          <t>T1546.001</t>
        </is>
      </c>
      <c r="E173" s="16" t="inlineStr">
        <is>
          <t>Change Default File Association</t>
        </is>
      </c>
      <c r="F173" s="16" t="inlineStr">
        <is>
          <t>Partial</t>
        </is>
      </c>
      <c r="G173"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3"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3"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3"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3" s="16" t="n"/>
      <c r="L173" s="16" t="inlineStr">
        <is>
          <t>https://attack.mitre.org/techniques/T1546</t>
        </is>
      </c>
    </row>
    <row r="174" ht="180.55" customHeight="1" s="7">
      <c r="A174" s="16" t="inlineStr">
        <is>
          <t>Persistence</t>
        </is>
      </c>
      <c r="B174" s="16" t="inlineStr">
        <is>
          <t>T1546</t>
        </is>
      </c>
      <c r="C174" s="16" t="inlineStr">
        <is>
          <t>Event Triggered Execution</t>
        </is>
      </c>
      <c r="D174" s="16" t="inlineStr">
        <is>
          <t>T1546.002</t>
        </is>
      </c>
      <c r="E174" s="16" t="inlineStr">
        <is>
          <t>Screensaver</t>
        </is>
      </c>
      <c r="F174" s="16" t="inlineStr">
        <is>
          <t>Partial</t>
        </is>
      </c>
      <c r="G174"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4"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4"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4"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4" s="16" t="n"/>
      <c r="L174" s="16" t="inlineStr">
        <is>
          <t>https://attack.mitre.org/techniques/T1546</t>
        </is>
      </c>
    </row>
    <row r="175" ht="180.55" customHeight="1" s="7">
      <c r="A175" s="16" t="inlineStr">
        <is>
          <t>Persistence</t>
        </is>
      </c>
      <c r="B175" s="16" t="inlineStr">
        <is>
          <t>T1546</t>
        </is>
      </c>
      <c r="C175" s="16" t="inlineStr">
        <is>
          <t>Event Triggered Execution</t>
        </is>
      </c>
      <c r="D175" s="16" t="inlineStr">
        <is>
          <t>T1546.003</t>
        </is>
      </c>
      <c r="E175" s="16" t="inlineStr">
        <is>
          <t>Windows Management Instrumentation Event Subscription</t>
        </is>
      </c>
      <c r="F175" s="16" t="inlineStr">
        <is>
          <t>Partial</t>
        </is>
      </c>
      <c r="G175"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5"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5"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5"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5" s="16" t="n"/>
      <c r="L175" s="16" t="inlineStr">
        <is>
          <t>https://attack.mitre.org/techniques/T1546</t>
        </is>
      </c>
    </row>
    <row r="176" ht="180.55" customHeight="1" s="7">
      <c r="A176" s="16" t="inlineStr">
        <is>
          <t>Persistence</t>
        </is>
      </c>
      <c r="B176" s="16" t="inlineStr">
        <is>
          <t>T1546</t>
        </is>
      </c>
      <c r="C176" s="16" t="inlineStr">
        <is>
          <t>Event Triggered Execution</t>
        </is>
      </c>
      <c r="D176" s="16" t="inlineStr">
        <is>
          <t>T1546.004</t>
        </is>
      </c>
      <c r="E176" s="16" t="inlineStr">
        <is>
          <t>Unix Shell Configuration Modification</t>
        </is>
      </c>
      <c r="F176" s="16" t="inlineStr">
        <is>
          <t>Partial</t>
        </is>
      </c>
      <c r="G176"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6"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6"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6"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6" s="16" t="n"/>
      <c r="L176" s="16" t="inlineStr">
        <is>
          <t>https://attack.mitre.org/techniques/T1546</t>
        </is>
      </c>
    </row>
    <row r="177" ht="180.55" customHeight="1" s="7">
      <c r="A177" s="16" t="inlineStr">
        <is>
          <t>Persistence</t>
        </is>
      </c>
      <c r="B177" s="16" t="inlineStr">
        <is>
          <t>T1546</t>
        </is>
      </c>
      <c r="C177" s="16" t="inlineStr">
        <is>
          <t>Event Triggered Execution</t>
        </is>
      </c>
      <c r="D177" s="16" t="inlineStr">
        <is>
          <t>T1546.005</t>
        </is>
      </c>
      <c r="E177" s="16" t="inlineStr">
        <is>
          <t>Trap</t>
        </is>
      </c>
      <c r="F177" s="16" t="inlineStr">
        <is>
          <t>Partial</t>
        </is>
      </c>
      <c r="G177"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7"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7"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7"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7" s="16" t="n"/>
      <c r="L177" s="16" t="inlineStr">
        <is>
          <t>https://attack.mitre.org/techniques/T1546</t>
        </is>
      </c>
    </row>
    <row r="178" ht="180.55" customHeight="1" s="7">
      <c r="A178" s="16" t="inlineStr">
        <is>
          <t>Persistence</t>
        </is>
      </c>
      <c r="B178" s="16" t="inlineStr">
        <is>
          <t>T1546</t>
        </is>
      </c>
      <c r="C178" s="16" t="inlineStr">
        <is>
          <t>Event Triggered Execution</t>
        </is>
      </c>
      <c r="D178" s="16" t="inlineStr">
        <is>
          <t>T1546.006</t>
        </is>
      </c>
      <c r="E178" s="16" t="inlineStr">
        <is>
          <t>LC_LOAD_DYLIB Addition</t>
        </is>
      </c>
      <c r="F178" s="16" t="inlineStr">
        <is>
          <t>Partial</t>
        </is>
      </c>
      <c r="G178"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8"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8"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8"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8" s="16" t="n"/>
      <c r="L178" s="16" t="inlineStr">
        <is>
          <t>https://attack.mitre.org/techniques/T1546</t>
        </is>
      </c>
    </row>
    <row r="179" ht="180.55" customHeight="1" s="7">
      <c r="A179" s="16" t="inlineStr">
        <is>
          <t>Persistence</t>
        </is>
      </c>
      <c r="B179" s="16" t="inlineStr">
        <is>
          <t>T1546</t>
        </is>
      </c>
      <c r="C179" s="16" t="inlineStr">
        <is>
          <t>Event Triggered Execution</t>
        </is>
      </c>
      <c r="D179" s="16" t="inlineStr">
        <is>
          <t>T1546.007</t>
        </is>
      </c>
      <c r="E179" s="16" t="inlineStr">
        <is>
          <t>Netsh Helper DLL</t>
        </is>
      </c>
      <c r="F179" s="16" t="inlineStr">
        <is>
          <t>Partial</t>
        </is>
      </c>
      <c r="G179"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79"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79"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79"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79" s="16" t="n"/>
      <c r="L179" s="16" t="inlineStr">
        <is>
          <t>https://attack.mitre.org/techniques/T1546</t>
        </is>
      </c>
    </row>
    <row r="180" ht="180.55" customHeight="1" s="7">
      <c r="A180" s="16" t="inlineStr">
        <is>
          <t>Persistence</t>
        </is>
      </c>
      <c r="B180" s="16" t="inlineStr">
        <is>
          <t>T1546</t>
        </is>
      </c>
      <c r="C180" s="16" t="inlineStr">
        <is>
          <t>Event Triggered Execution</t>
        </is>
      </c>
      <c r="D180" s="16" t="inlineStr">
        <is>
          <t>T1546.008</t>
        </is>
      </c>
      <c r="E180" s="16" t="inlineStr">
        <is>
          <t>Accessibility Features</t>
        </is>
      </c>
      <c r="F180" s="16" t="inlineStr">
        <is>
          <t>Partial</t>
        </is>
      </c>
      <c r="G180"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0"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0"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0"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0" s="16" t="n"/>
      <c r="L180" s="16" t="inlineStr">
        <is>
          <t>https://attack.mitre.org/techniques/T1546</t>
        </is>
      </c>
    </row>
    <row r="181" ht="180.55" customHeight="1" s="7">
      <c r="A181" s="16" t="inlineStr">
        <is>
          <t>Persistence</t>
        </is>
      </c>
      <c r="B181" s="16" t="inlineStr">
        <is>
          <t>T1546</t>
        </is>
      </c>
      <c r="C181" s="16" t="inlineStr">
        <is>
          <t>Event Triggered Execution</t>
        </is>
      </c>
      <c r="D181" s="16" t="inlineStr">
        <is>
          <t>T1546.009</t>
        </is>
      </c>
      <c r="E181" s="16" t="inlineStr">
        <is>
          <t>AppCert DLLs</t>
        </is>
      </c>
      <c r="F181" s="16" t="inlineStr">
        <is>
          <t>Partial</t>
        </is>
      </c>
      <c r="G181"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1"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1"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1"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1" s="16" t="n"/>
      <c r="L181" s="16" t="inlineStr">
        <is>
          <t>https://attack.mitre.org/techniques/T1546</t>
        </is>
      </c>
    </row>
    <row r="182" ht="180.55" customHeight="1" s="7">
      <c r="A182" s="16" t="inlineStr">
        <is>
          <t>Persistence</t>
        </is>
      </c>
      <c r="B182" s="16" t="inlineStr">
        <is>
          <t>T1546</t>
        </is>
      </c>
      <c r="C182" s="16" t="inlineStr">
        <is>
          <t>Event Triggered Execution</t>
        </is>
      </c>
      <c r="D182" s="16" t="inlineStr">
        <is>
          <t>T1546.010</t>
        </is>
      </c>
      <c r="E182" s="16" t="inlineStr">
        <is>
          <t>AppInit DLLs</t>
        </is>
      </c>
      <c r="F182" s="16" t="inlineStr">
        <is>
          <t>Partial</t>
        </is>
      </c>
      <c r="G182"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2"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2"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2"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2" s="16" t="n"/>
      <c r="L182" s="16" t="inlineStr">
        <is>
          <t>https://attack.mitre.org/techniques/T1546</t>
        </is>
      </c>
    </row>
    <row r="183" ht="180.55" customHeight="1" s="7">
      <c r="A183" s="16" t="inlineStr">
        <is>
          <t>Persistence</t>
        </is>
      </c>
      <c r="B183" s="16" t="inlineStr">
        <is>
          <t>T1546</t>
        </is>
      </c>
      <c r="C183" s="16" t="inlineStr">
        <is>
          <t>Event Triggered Execution</t>
        </is>
      </c>
      <c r="D183" s="16" t="inlineStr">
        <is>
          <t>T1546.011</t>
        </is>
      </c>
      <c r="E183" s="16" t="inlineStr">
        <is>
          <t>Application Shimming</t>
        </is>
      </c>
      <c r="F183" s="16" t="inlineStr">
        <is>
          <t>Partial</t>
        </is>
      </c>
      <c r="G183"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3"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3"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3"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3" s="16" t="n"/>
      <c r="L183" s="16" t="inlineStr">
        <is>
          <t>https://attack.mitre.org/techniques/T1546</t>
        </is>
      </c>
    </row>
    <row r="184" ht="180.55" customHeight="1" s="7">
      <c r="A184" s="16" t="inlineStr">
        <is>
          <t>Persistence</t>
        </is>
      </c>
      <c r="B184" s="16" t="inlineStr">
        <is>
          <t>T1546</t>
        </is>
      </c>
      <c r="C184" s="16" t="inlineStr">
        <is>
          <t>Event Triggered Execution</t>
        </is>
      </c>
      <c r="D184" s="16" t="inlineStr">
        <is>
          <t>T1546.012</t>
        </is>
      </c>
      <c r="E184" s="16" t="inlineStr">
        <is>
          <t>Image File Execution Options Injection</t>
        </is>
      </c>
      <c r="F184" s="16" t="inlineStr">
        <is>
          <t>Partial</t>
        </is>
      </c>
      <c r="G184"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4"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4"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4"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4" s="16" t="n"/>
      <c r="L184" s="16" t="inlineStr">
        <is>
          <t>https://attack.mitre.org/techniques/T1546</t>
        </is>
      </c>
    </row>
    <row r="185" ht="180.55" customHeight="1" s="7">
      <c r="A185" s="16" t="inlineStr">
        <is>
          <t>Persistence</t>
        </is>
      </c>
      <c r="B185" s="16" t="inlineStr">
        <is>
          <t>T1546</t>
        </is>
      </c>
      <c r="C185" s="16" t="inlineStr">
        <is>
          <t>Event Triggered Execution</t>
        </is>
      </c>
      <c r="D185" s="16" t="inlineStr">
        <is>
          <t>T1546.013</t>
        </is>
      </c>
      <c r="E185" s="16" t="inlineStr">
        <is>
          <t>PowerShell Profile</t>
        </is>
      </c>
      <c r="F185" s="16" t="inlineStr">
        <is>
          <t>Partial</t>
        </is>
      </c>
      <c r="G185"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5"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5"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5"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5" s="16" t="n"/>
      <c r="L185" s="16" t="inlineStr">
        <is>
          <t>https://attack.mitre.org/techniques/T1546</t>
        </is>
      </c>
    </row>
    <row r="186" ht="180.55" customHeight="1" s="7">
      <c r="A186" s="16" t="inlineStr">
        <is>
          <t>Persistence</t>
        </is>
      </c>
      <c r="B186" s="16" t="inlineStr">
        <is>
          <t>T1546</t>
        </is>
      </c>
      <c r="C186" s="16" t="inlineStr">
        <is>
          <t>Event Triggered Execution</t>
        </is>
      </c>
      <c r="D186" s="16" t="inlineStr">
        <is>
          <t>T1546.014</t>
        </is>
      </c>
      <c r="E186" s="16" t="inlineStr">
        <is>
          <t>Emond</t>
        </is>
      </c>
      <c r="F186" s="16" t="inlineStr">
        <is>
          <t>Partial</t>
        </is>
      </c>
      <c r="G186"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6"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6"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6"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6" s="16" t="n"/>
      <c r="L186" s="16" t="inlineStr">
        <is>
          <t>https://attack.mitre.org/techniques/T1546</t>
        </is>
      </c>
    </row>
    <row r="187" ht="180.55" customHeight="1" s="7">
      <c r="A187" s="16" t="inlineStr">
        <is>
          <t>Persistence</t>
        </is>
      </c>
      <c r="B187" s="16" t="inlineStr">
        <is>
          <t>T1546</t>
        </is>
      </c>
      <c r="C187" s="16" t="inlineStr">
        <is>
          <t>Event Triggered Execution</t>
        </is>
      </c>
      <c r="D187" s="16" t="inlineStr">
        <is>
          <t>T1546.015</t>
        </is>
      </c>
      <c r="E187" s="16" t="inlineStr">
        <is>
          <t>Component Object Model Hijacking</t>
        </is>
      </c>
      <c r="F187" s="16" t="inlineStr">
        <is>
          <t>Partial</t>
        </is>
      </c>
      <c r="G187"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7"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7"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7"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7" s="16" t="n"/>
      <c r="L187" s="16" t="inlineStr">
        <is>
          <t>https://attack.mitre.org/techniques/T1546</t>
        </is>
      </c>
    </row>
    <row r="188" ht="180.55" customHeight="1" s="7">
      <c r="A188" s="16" t="inlineStr">
        <is>
          <t>Persistence</t>
        </is>
      </c>
      <c r="B188" s="16" t="inlineStr">
        <is>
          <t>T1546</t>
        </is>
      </c>
      <c r="C188" s="16" t="inlineStr">
        <is>
          <t>Event Triggered Execution</t>
        </is>
      </c>
      <c r="D188" s="16" t="inlineStr">
        <is>
          <t>T1546.016</t>
        </is>
      </c>
      <c r="E188" s="16" t="inlineStr">
        <is>
          <t>Installer Packages</t>
        </is>
      </c>
      <c r="F188" s="16" t="inlineStr">
        <is>
          <t>Partial</t>
        </is>
      </c>
      <c r="G188"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8"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8"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8"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8" s="16" t="n"/>
      <c r="L188" s="16" t="inlineStr">
        <is>
          <t>https://attack.mitre.org/techniques/T1546</t>
        </is>
      </c>
    </row>
    <row r="189" ht="180.55" customHeight="1" s="7">
      <c r="A189" s="16" t="inlineStr">
        <is>
          <t>Persistence</t>
        </is>
      </c>
      <c r="B189" s="16" t="inlineStr">
        <is>
          <t>T1546</t>
        </is>
      </c>
      <c r="C189" s="16" t="inlineStr">
        <is>
          <t>Event Triggered Execution</t>
        </is>
      </c>
      <c r="D189" s="16" t="inlineStr">
        <is>
          <t>T1546.017</t>
        </is>
      </c>
      <c r="E189" s="16" t="inlineStr">
        <is>
          <t>Udev Rules</t>
        </is>
      </c>
      <c r="F189" s="16" t="inlineStr">
        <is>
          <t>Partial</t>
        </is>
      </c>
      <c r="G189" s="16" t="inlineStr">
        <is>
          <t>- Blockchain event triggers: DID systems detect blockchain events (DID registration, key change, VC issuance) and execute automated tasks; malicious code can be executed by manipulating event listeners.
- Web3 event systems: event-driven execution patterns are widely used in DID network communication via Ethereum Events, IPFS Pubsub, etc.
- DID Document change detection: when the DID Resolver detects a Document change event, it automatically performs cache updates, notifications to related services, etc.; injecting fake events can disrupt the system.
- Smart Contract events: in systems that monitor the event logs of DID-related smart contracts, fake events can be injected or the event-handling logic manipulated.
- Since DID mostly runs in web browser environments, OS-level event triggers are constrained, but the technique is applicable to server-side DID infrastructure (server side refers to processing performed on the server side of a client-server network architecture).</t>
        </is>
      </c>
      <c r="H189" s="16" t="inlineStr">
        <is>
          <t>1. Event-based execution: code executes automatically when specific conditions or situations occur.
2. No user involvement: events are detected and responded to automatically in the background.
3. System integration: uses legitimate event mechanisms of the OS or applications.
4. Stealth: evades detection by masquerading as normal system behavior.
5. Activated only when specific events occur and hidden otherwise.</t>
        </is>
      </c>
      <c r="I189" s="16" t="inlineStr">
        <is>
          <t>- Event source: conventionally OS system events, whereas DID uses blockchain/Web3 events.
- Attack execution method: conventionally WMI and the file system, whereas DID uses Smart Contract Events and IPFS Pubsub.
- The execution environments differ.
- Network difference: the conventional technique relies on local events, whereas DID relies on distributed network events.
- Management difference: conventionally the local registry and files are managed, whereas DID manages blockchain state.</t>
        </is>
      </c>
      <c r="J189" s="16" t="inlineStr">
        <is>
          <t>1. Blockchain event verification: strengthen integrity verification of DID-related blockchain events.
2. Event listener security: audit the security of event subscription and handling logic in DID services.
3. File association control: secure settings for DID-related file extensions and URI schemes.
4. Event log monitoring: a system to detect abnormal DID event patterns.</t>
        </is>
      </c>
      <c r="K189" s="16" t="n"/>
      <c r="L189" s="16" t="inlineStr">
        <is>
          <t>https://attack.mitre.org/techniques/T1546</t>
        </is>
      </c>
    </row>
    <row r="190" ht="202.95" customHeight="1" s="7">
      <c r="A190" s="16" t="inlineStr">
        <is>
          <t>Persistence</t>
        </is>
      </c>
      <c r="B190" s="16" t="inlineStr">
        <is>
          <t>T1668</t>
        </is>
      </c>
      <c r="C190" s="16" t="inlineStr">
        <is>
          <t>Exclusive Control</t>
        </is>
      </c>
      <c r="D190" s="16" t="n"/>
      <c r="E190" s="16" t="n"/>
      <c r="F190" s="16" t="inlineStr">
        <is>
          <t>No</t>
        </is>
      </c>
      <c r="G190" s="16" t="inlineStr">
        <is>
          <t>- Exclusive Control is a centralized attack in which a single attacker monopolizes a system; DID has an inherently decentralized architecture, so single-point control is impossible.
- Conventional systems allow exclusive control by seizing a central server; in DID, multiple Issuers, Verifiers, and Resolvers operate independently, so seizing one does not give control over the whole system.
- DID networks operate peer-to-peer; in distributed ledgers such as Ethereum, IPFS, and Hyperledger, no single node can exclude other nodes.
- Consensus mechanism: blockchain-based DID operates with consensus algorithms such as PoW and PoS.
- DID networks are permissionless, so anyone can freely participate; existing participants have no technical means to exclude new participants.
- Global standard: the W3C DID standard is an international standard that no particular organization or country can monopolize.
- Existence of checks and balances: the DID ecosystem involves the economic interests of diverse stakeholders, so any attempt by one entity to monopolize it is naturally checked by the others.</t>
        </is>
      </c>
      <c r="H190" s="16" t="inlineStr">
        <is>
          <t>1. System control: obtaining control over the compromised system.
2. Security hardening: paradoxically, enabling some security mechanisms to prevent other intrusions.
3. Maintaining stealth: removing traces of other attacks so that only one's own activity remains.</t>
        </is>
      </c>
      <c r="I190" s="16" t="inlineStr">
        <is>
          <t>- Conventionally centralized system control, whereas DID is a decentralized P2P network.
- Ownership: conventionally monopoly over a single system, whereas DID involves multiple stakeholders.
- Scope of access control: conventionally a single gateway, whereas DID has multiple entry points (Issuer, Verifier, Resolver).
- Storage difference: conventionally a central database, whereas DID uses distributed ledgers (blockchain, IPFS).</t>
        </is>
      </c>
      <c r="J190" s="16" t="inlineStr">
        <is>
          <t>-</t>
        </is>
      </c>
      <c r="K190" s="16" t="n"/>
      <c r="L190" s="16" t="inlineStr">
        <is>
          <t>https://attack.mitre.org/techniques/T1668</t>
        </is>
      </c>
    </row>
    <row r="191" ht="147" customHeight="1" s="7">
      <c r="A191" s="16" t="inlineStr">
        <is>
          <t>Persistence</t>
        </is>
      </c>
      <c r="B191" s="16" t="inlineStr">
        <is>
          <t>T1133</t>
        </is>
      </c>
      <c r="C191" s="16" t="inlineStr">
        <is>
          <t>External Remote Services</t>
        </is>
      </c>
      <c r="D191" s="16" t="n"/>
      <c r="E191" s="16" t="n"/>
      <c r="F191" s="16" t="inlineStr">
        <is>
          <t>Partial</t>
        </is>
      </c>
      <c r="G191" s="16" t="inlineStr">
        <is>
          <t>- With the spread of remote work, more enterprises are adopting DID-based Zero Trust networks as an alternative to VPNs.
- DID-VPN integrated architecture: scenarios integrating DID authentication plugins into WireGuard and OpenVPN; in hybrid models where users authenticate with a DID and then create a VPN tunnel, theft of DID credentials allows the VPN to be bypassed.
- Decentralized VPN services: in DID-based decentralized VPNs such as Orchid and Mysterium Network, theft of a node operator's DID undermines the trustworthiness of the entire network.
- mTLS with DID: DID-based certificates are increasingly used instead of X.509 certificates in mutual TLS authentication; when the authentication key in a DID Document is used for TLS client authentication, key theft allows network intrusion.</t>
        </is>
      </c>
      <c r="H191" s="16" t="inlineStr">
        <is>
          <t>1. Abuse of remote access: abusing legitimate paths from outside into the internal network.
2. Network perimeter bypass: gaining internal access by bypassing firewalls or network security appliances.
3. Persistent connection: once connected, maintaining long sessions for continued activity.
4. Encrypted tunnel: concealing activity through encrypted connections such as VPNs.
5. Masquerading as a legitimate service: avoiding suspicion by posing as business remote access.</t>
        </is>
      </c>
      <c r="I191" s="16" t="inlineStr">
        <is>
          <t>- Authentication: centralized VPN server authentication vs. DID-based decentralized identity proofs.
- Session management: server-side session management vs. client-side renewal of DID proofs.
- Access control: central policy server vs. distributed access control rules.
- Log management: central VPN server logs vs. distributed access records.
- Identity verification: username/password vs. cryptographic private-key proofs.</t>
        </is>
      </c>
      <c r="J191" s="16" t="inlineStr">
        <is>
          <t>1. DID-based VPN access control: authentication based on DID credentials and per-session VC re-verification.
2. Remote service monitoring: logging of DID-based remote access sessions and real-time anomaly detection.
3. Zero Trust network: DID re-authentication for every connection and network segmentation.</t>
        </is>
      </c>
      <c r="K191" s="16" t="n"/>
      <c r="L191" s="16" t="inlineStr">
        <is>
          <t>https://attack.mitre.org/techniques/T1133</t>
        </is>
      </c>
    </row>
    <row r="192" ht="113.4" customHeight="1" s="7">
      <c r="A192" s="16" t="inlineStr">
        <is>
          <t>Persistence</t>
        </is>
      </c>
      <c r="B192" s="16" t="inlineStr">
        <is>
          <t>T1574</t>
        </is>
      </c>
      <c r="C192" s="16" t="inlineStr">
        <is>
          <t>Hijack Execution Flow</t>
        </is>
      </c>
      <c r="D192" s="16" t="inlineStr">
        <is>
          <t>T1574.001</t>
        </is>
      </c>
      <c r="E192" s="16" t="inlineStr">
        <is>
          <t>DLL</t>
        </is>
      </c>
      <c r="F192" s="16" t="inlineStr">
        <is>
          <t>Partial</t>
        </is>
      </c>
      <c r="G192"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2"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2" s="16" t="inlineStr">
        <is>
          <t>Different execution environments: OS processes vs. web browsers and interpreter environments in DID; the library types also differ; privilege difference: system privileges vs. application privileges.</t>
        </is>
      </c>
      <c r="J192"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2" s="16" t="n"/>
      <c r="L192" s="16" t="inlineStr">
        <is>
          <t>https://attack.mitre.org/techniques/T1574</t>
        </is>
      </c>
    </row>
    <row r="193" ht="113.4" customHeight="1" s="7">
      <c r="A193" s="16" t="inlineStr">
        <is>
          <t>Persistence</t>
        </is>
      </c>
      <c r="B193" s="16" t="inlineStr">
        <is>
          <t>T1574</t>
        </is>
      </c>
      <c r="C193" s="16" t="inlineStr">
        <is>
          <t>Hijack Execution Flow</t>
        </is>
      </c>
      <c r="D193" s="16" t="inlineStr">
        <is>
          <t>T1574.004</t>
        </is>
      </c>
      <c r="E193" s="16" t="inlineStr">
        <is>
          <t>Dylib Hijacking</t>
        </is>
      </c>
      <c r="F193" s="16" t="inlineStr">
        <is>
          <t>Partial</t>
        </is>
      </c>
      <c r="G193"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3"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3" s="16" t="inlineStr">
        <is>
          <t>Different execution environments: OS processes vs. web browsers and interpreter environments in DID; the library types also differ; privilege difference: system privileges vs. application privileges.</t>
        </is>
      </c>
      <c r="J193"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3" s="16" t="n"/>
      <c r="L193" s="16" t="inlineStr">
        <is>
          <t>https://attack.mitre.org/techniques/T1574</t>
        </is>
      </c>
    </row>
    <row r="194" ht="113.4" customHeight="1" s="7">
      <c r="A194" s="16" t="inlineStr">
        <is>
          <t>Persistence</t>
        </is>
      </c>
      <c r="B194" s="16" t="inlineStr">
        <is>
          <t>T1574</t>
        </is>
      </c>
      <c r="C194" s="16" t="inlineStr">
        <is>
          <t>Hijack Execution Flow</t>
        </is>
      </c>
      <c r="D194" s="16" t="inlineStr">
        <is>
          <t>T1574.005</t>
        </is>
      </c>
      <c r="E194" s="16" t="inlineStr">
        <is>
          <t>Executable Installer File Permissions Weakness</t>
        </is>
      </c>
      <c r="F194" s="16" t="inlineStr">
        <is>
          <t>Partial</t>
        </is>
      </c>
      <c r="G194"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4"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4" s="16" t="inlineStr">
        <is>
          <t>Different execution environments: OS processes vs. web browsers and interpreter environments in DID; the library types also differ; privilege difference: system privileges vs. application privileges.</t>
        </is>
      </c>
      <c r="J194"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4" s="16" t="n"/>
      <c r="L194" s="16" t="inlineStr">
        <is>
          <t>https://attack.mitre.org/techniques/T1574</t>
        </is>
      </c>
    </row>
    <row r="195" ht="113.4" customHeight="1" s="7">
      <c r="A195" s="16" t="inlineStr">
        <is>
          <t>Persistence</t>
        </is>
      </c>
      <c r="B195" s="16" t="inlineStr">
        <is>
          <t>T1574</t>
        </is>
      </c>
      <c r="C195" s="16" t="inlineStr">
        <is>
          <t>Hijack Execution Flow</t>
        </is>
      </c>
      <c r="D195" s="16" t="inlineStr">
        <is>
          <t>T1574.006</t>
        </is>
      </c>
      <c r="E195" s="16" t="inlineStr">
        <is>
          <t>Dynamic Linker Hijacking</t>
        </is>
      </c>
      <c r="F195" s="16" t="inlineStr">
        <is>
          <t>Partial</t>
        </is>
      </c>
      <c r="G195"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5"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5" s="16" t="inlineStr">
        <is>
          <t>Different execution environments: OS processes vs. web browsers and interpreter environments in DID; the library types also differ; privilege difference: system privileges vs. application privileges.</t>
        </is>
      </c>
      <c r="J195"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5" s="16" t="n"/>
      <c r="L195" s="16" t="inlineStr">
        <is>
          <t>https://attack.mitre.org/techniques/T1574</t>
        </is>
      </c>
    </row>
    <row r="196" ht="113.4" customHeight="1" s="7">
      <c r="A196" s="16" t="inlineStr">
        <is>
          <t>Persistence</t>
        </is>
      </c>
      <c r="B196" s="16" t="inlineStr">
        <is>
          <t>T1574</t>
        </is>
      </c>
      <c r="C196" s="16" t="inlineStr">
        <is>
          <t>Hijack Execution Flow</t>
        </is>
      </c>
      <c r="D196" s="16" t="inlineStr">
        <is>
          <t>T1574.007</t>
        </is>
      </c>
      <c r="E196" s="16" t="inlineStr">
        <is>
          <t>Path Interception by PATH Environment Variable</t>
        </is>
      </c>
      <c r="F196" s="16" t="inlineStr">
        <is>
          <t>Partial</t>
        </is>
      </c>
      <c r="G196"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6"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6" s="16" t="inlineStr">
        <is>
          <t>Different execution environments: OS processes vs. web browsers and interpreter environments in DID; the library types also differ; privilege difference: system privileges vs. application privileges.</t>
        </is>
      </c>
      <c r="J196"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6" s="16" t="n"/>
      <c r="L196" s="16" t="inlineStr">
        <is>
          <t>https://attack.mitre.org/techniques/T1574</t>
        </is>
      </c>
    </row>
    <row r="197" ht="113.4" customHeight="1" s="7">
      <c r="A197" s="16" t="inlineStr">
        <is>
          <t>Persistence</t>
        </is>
      </c>
      <c r="B197" s="16" t="inlineStr">
        <is>
          <t>T1574</t>
        </is>
      </c>
      <c r="C197" s="16" t="inlineStr">
        <is>
          <t>Hijack Execution Flow</t>
        </is>
      </c>
      <c r="D197" s="16" t="inlineStr">
        <is>
          <t>T1574.008</t>
        </is>
      </c>
      <c r="E197" s="16" t="inlineStr">
        <is>
          <t>Path Interception by Search Order Hijacking</t>
        </is>
      </c>
      <c r="F197" s="16" t="inlineStr">
        <is>
          <t>Partial</t>
        </is>
      </c>
      <c r="G197"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7"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7" s="16" t="inlineStr">
        <is>
          <t>Different execution environments: OS processes vs. web browsers and interpreter environments in DID; the library types also differ; privilege difference: system privileges vs. application privileges.</t>
        </is>
      </c>
      <c r="J197"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7" s="16" t="n"/>
      <c r="L197" s="16" t="inlineStr">
        <is>
          <t>https://attack.mitre.org/techniques/T1574</t>
        </is>
      </c>
    </row>
    <row r="198" ht="113.4" customHeight="1" s="7">
      <c r="A198" s="16" t="inlineStr">
        <is>
          <t>Persistence</t>
        </is>
      </c>
      <c r="B198" s="16" t="inlineStr">
        <is>
          <t>T1574</t>
        </is>
      </c>
      <c r="C198" s="16" t="inlineStr">
        <is>
          <t>Hijack Execution Flow</t>
        </is>
      </c>
      <c r="D198" s="16" t="inlineStr">
        <is>
          <t>T1574.009</t>
        </is>
      </c>
      <c r="E198" s="16" t="inlineStr">
        <is>
          <t>Path Interception by Unquoted Path</t>
        </is>
      </c>
      <c r="F198" s="16" t="inlineStr">
        <is>
          <t>Partial</t>
        </is>
      </c>
      <c r="G198"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8"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8" s="16" t="inlineStr">
        <is>
          <t>Different execution environments: OS processes vs. web browsers and interpreter environments in DID; the library types also differ; privilege difference: system privileges vs. application privileges.</t>
        </is>
      </c>
      <c r="J198"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8" s="16" t="n"/>
      <c r="L198" s="16" t="inlineStr">
        <is>
          <t>https://attack.mitre.org/techniques/T1574</t>
        </is>
      </c>
    </row>
    <row r="199" ht="113.4" customHeight="1" s="7">
      <c r="A199" s="16" t="inlineStr">
        <is>
          <t>Persistence</t>
        </is>
      </c>
      <c r="B199" s="16" t="inlineStr">
        <is>
          <t>T1574</t>
        </is>
      </c>
      <c r="C199" s="16" t="inlineStr">
        <is>
          <t>Hijack Execution Flow</t>
        </is>
      </c>
      <c r="D199" s="16" t="inlineStr">
        <is>
          <t>T1574.010</t>
        </is>
      </c>
      <c r="E199" s="16" t="inlineStr">
        <is>
          <t>Services File Permissions Weakness</t>
        </is>
      </c>
      <c r="F199" s="16" t="inlineStr">
        <is>
          <t>Partial</t>
        </is>
      </c>
      <c r="G199"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199"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199" s="16" t="inlineStr">
        <is>
          <t>Different execution environments: OS processes vs. web browsers and interpreter environments in DID; the library types also differ; privilege difference: system privileges vs. application privileges.</t>
        </is>
      </c>
      <c r="J199"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199" s="16" t="n"/>
      <c r="L199" s="16" t="inlineStr">
        <is>
          <t>https://attack.mitre.org/techniques/T1574</t>
        </is>
      </c>
    </row>
    <row r="200" ht="113.4" customHeight="1" s="7">
      <c r="A200" s="16" t="inlineStr">
        <is>
          <t>Persistence</t>
        </is>
      </c>
      <c r="B200" s="16" t="inlineStr">
        <is>
          <t>T1574</t>
        </is>
      </c>
      <c r="C200" s="16" t="inlineStr">
        <is>
          <t>Hijack Execution Flow</t>
        </is>
      </c>
      <c r="D200" s="16" t="inlineStr">
        <is>
          <t>T1574.011</t>
        </is>
      </c>
      <c r="E200" s="16" t="inlineStr">
        <is>
          <t>Services Registry Permissions Weakness</t>
        </is>
      </c>
      <c r="F200" s="16" t="inlineStr">
        <is>
          <t>Partial</t>
        </is>
      </c>
      <c r="G200"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200"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200" s="16" t="inlineStr">
        <is>
          <t>Different execution environments: OS processes vs. web browsers and interpreter environments in DID; the library types also differ; privilege difference: system privileges vs. application privileges.</t>
        </is>
      </c>
      <c r="J200"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200" s="16" t="n"/>
      <c r="L200" s="16" t="inlineStr">
        <is>
          <t>https://attack.mitre.org/techniques/T1574</t>
        </is>
      </c>
    </row>
    <row r="201" ht="113.4" customHeight="1" s="7">
      <c r="A201" s="16" t="inlineStr">
        <is>
          <t>Persistence</t>
        </is>
      </c>
      <c r="B201" s="16" t="inlineStr">
        <is>
          <t>T1574</t>
        </is>
      </c>
      <c r="C201" s="16" t="inlineStr">
        <is>
          <t>Hijack Execution Flow</t>
        </is>
      </c>
      <c r="D201" s="16" t="inlineStr">
        <is>
          <t>T1574.012</t>
        </is>
      </c>
      <c r="E201" s="16" t="inlineStr">
        <is>
          <t>COR_PROFILER</t>
        </is>
      </c>
      <c r="F201" s="16" t="inlineStr">
        <is>
          <t>Partial</t>
        </is>
      </c>
      <c r="G201"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201"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201" s="16" t="inlineStr">
        <is>
          <t>Different execution environments: OS processes vs. web browsers and interpreter environments in DID; the library types also differ; privilege difference: system privileges vs. application privileges.</t>
        </is>
      </c>
      <c r="J201"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201" s="16" t="n"/>
      <c r="L201" s="16" t="inlineStr">
        <is>
          <t>https://attack.mitre.org/techniques/T1574</t>
        </is>
      </c>
    </row>
    <row r="202" ht="113.4" customHeight="1" s="7">
      <c r="A202" s="16" t="inlineStr">
        <is>
          <t>Persistence</t>
        </is>
      </c>
      <c r="B202" s="16" t="inlineStr">
        <is>
          <t>T1574</t>
        </is>
      </c>
      <c r="C202" s="16" t="inlineStr">
        <is>
          <t>Hijack Execution Flow</t>
        </is>
      </c>
      <c r="D202" s="16" t="inlineStr">
        <is>
          <t>T1574.013</t>
        </is>
      </c>
      <c r="E202" s="16" t="inlineStr">
        <is>
          <t>KernelCallbackTable</t>
        </is>
      </c>
      <c r="F202" s="16" t="inlineStr">
        <is>
          <t>Partial</t>
        </is>
      </c>
      <c r="G202"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202"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202" s="16" t="inlineStr">
        <is>
          <t>Different execution environments: OS processes vs. web browsers and interpreter environments in DID; the library types also differ; privilege difference: system privileges vs. application privileges.</t>
        </is>
      </c>
      <c r="J202"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202" s="16" t="n"/>
      <c r="L202" s="16" t="inlineStr">
        <is>
          <t>https://attack.mitre.org/techniques/T1574</t>
        </is>
      </c>
    </row>
    <row r="203" ht="113.4" customHeight="1" s="7">
      <c r="A203" s="16" t="inlineStr">
        <is>
          <t>Persistence</t>
        </is>
      </c>
      <c r="B203" s="16" t="inlineStr">
        <is>
          <t>T1574</t>
        </is>
      </c>
      <c r="C203" s="16" t="inlineStr">
        <is>
          <t>Hijack Execution Flow</t>
        </is>
      </c>
      <c r="D203" s="16" t="inlineStr">
        <is>
          <t>T1574.014</t>
        </is>
      </c>
      <c r="E203" s="16" t="inlineStr">
        <is>
          <t>AppDomainManager</t>
        </is>
      </c>
      <c r="F203" s="16" t="inlineStr">
        <is>
          <t>Partial</t>
        </is>
      </c>
      <c r="G203" s="16" t="inlineStr">
        <is>
          <t>Python-based DID services can load malicious libraries through sys.path manipulation or package shadowing; client-side DID applications run in the browser sandbox and cannot load system libraries; most DID implementations are based on interpreted languages and do not use traditional DLLs/shared libraries.</t>
        </is>
      </c>
      <c r="H203" s="16" t="inlineStr">
        <is>
          <t>1. Injecting malicious code during dynamic library or module loading.
2. Manipulating the library search order or path so that malicious files are loaded first.
3. Inducing a trusted process to load malicious code.
4. Executing with privileges inherited directly from the host process.
5. Evading detection by masquerading as normal library loading.</t>
        </is>
      </c>
      <c r="I203" s="16" t="inlineStr">
        <is>
          <t>Different execution environments: OS processes vs. web browsers and interpreter environments in DID; the library types also differ; privilege difference: system privileges vs. application privileges.</t>
        </is>
      </c>
      <c r="J203" s="16" t="inlineStr">
        <is>
          <t>1. Integrity checks of dependency modules in Node.js/Python DID services.
2. Prevention of manipulation of environment variables such as PATH and NODE_PATH.
3. Signature verification and hash checks when installing npm and pip packages.
4. Verification of library loading paths in container images.</t>
        </is>
      </c>
      <c r="K203" s="16" t="n"/>
      <c r="L203" s="16" t="inlineStr">
        <is>
          <t>https://attack.mitre.org/techniques/T1574</t>
        </is>
      </c>
    </row>
    <row r="204" ht="191.75" customHeight="1" s="7">
      <c r="A204" s="16" t="inlineStr">
        <is>
          <t>Persistence</t>
        </is>
      </c>
      <c r="B204" s="16" t="inlineStr">
        <is>
          <t>T1525</t>
        </is>
      </c>
      <c r="C204" s="16" t="inlineStr">
        <is>
          <t>Implant Internal Image</t>
        </is>
      </c>
      <c r="D204" s="16" t="n"/>
      <c r="E204" s="16" t="n"/>
      <c r="F204" s="16" t="inlineStr">
        <is>
          <t>Partial</t>
        </is>
      </c>
      <c r="G204" s="16" t="inlineStr">
        <is>
          <t>- Most DID users use browser extensions and mobile apps and have no direct contact with container images; only server-side DID services are candidates for containerization.
- Many DID services run in serverless environments such as AWS Lambda and Cloudflare Workers and are deployed per function rather than as traditional container images.
- DID Documents and VCs are stored directly on blockchains or in distributed storage such as IPFS, so there is little need to include data in container images.
- Many DID services are deployed as static websites on GitHub Pages, Netlify, etc., requiring no container runtime.
- SaaS model: vendors that provide Verifiable Credentials issuance as SaaS (Microsoft, Dock.io) use self-managed infrastructure, so users have no opportunity to touch container images.
- Security isolation: even containerized DID services guarantee data integrity through blockchain verification and cryptographic proofs, so the practical effect of manipulating container images is limited.</t>
        </is>
      </c>
      <c r="H204" s="16" t="inlineStr">
        <is>
          <t>Manipulation at the infrastructure level: achieving persistence at the infrastructure level rather than the application level; image-based deployment: distributing malicious code through preconfigured images; version management: maintaining persistence through image version management systems.</t>
        </is>
      </c>
      <c r="I204" s="16" t="inlineStr">
        <is>
          <t>-</t>
        </is>
      </c>
      <c r="J204" s="16" t="inlineStr">
        <is>
          <t>-</t>
        </is>
      </c>
      <c r="K204" s="16" t="n"/>
      <c r="L204" s="16" t="inlineStr">
        <is>
          <t>https://attack.mitre.org/techniques/T1525</t>
        </is>
      </c>
    </row>
    <row r="205" ht="236.55" customHeight="1" s="7">
      <c r="A205" s="16" t="inlineStr">
        <is>
          <t>Persistence</t>
        </is>
      </c>
      <c r="B205" s="16" t="inlineStr">
        <is>
          <t>T1556</t>
        </is>
      </c>
      <c r="C205" s="16" t="inlineStr">
        <is>
          <t>Modify Authentication Process</t>
        </is>
      </c>
      <c r="D205" s="16" t="inlineStr">
        <is>
          <t>T1556.001</t>
        </is>
      </c>
      <c r="E205" s="16" t="inlineStr">
        <is>
          <t>Domain Controller Authentication</t>
        </is>
      </c>
      <c r="F205" s="16" t="inlineStr">
        <is>
          <t>Full</t>
        </is>
      </c>
      <c r="G205"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05"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05"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05"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05" s="16" t="n"/>
      <c r="L205" s="16" t="inlineStr">
        <is>
          <t>https://attack.mitre.org/techniques/T1556</t>
        </is>
      </c>
    </row>
    <row r="206" ht="236.55" customHeight="1" s="7">
      <c r="A206" s="16" t="inlineStr">
        <is>
          <t>Persistence</t>
        </is>
      </c>
      <c r="B206" s="16" t="inlineStr">
        <is>
          <t>T1556</t>
        </is>
      </c>
      <c r="C206" s="16" t="inlineStr">
        <is>
          <t>Modify Authentication Process</t>
        </is>
      </c>
      <c r="D206" s="16" t="inlineStr">
        <is>
          <t>T1556.002</t>
        </is>
      </c>
      <c r="E206" s="16" t="inlineStr">
        <is>
          <t>Password Filter DLL</t>
        </is>
      </c>
      <c r="F206" s="16" t="inlineStr">
        <is>
          <t>Full</t>
        </is>
      </c>
      <c r="G206"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06"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06"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06"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06" s="16" t="n"/>
      <c r="L206" s="16" t="inlineStr">
        <is>
          <t>https://attack.mitre.org/techniques/T1556</t>
        </is>
      </c>
    </row>
    <row r="207" ht="236.55" customHeight="1" s="7">
      <c r="A207" s="16" t="inlineStr">
        <is>
          <t>Persistence</t>
        </is>
      </c>
      <c r="B207" s="16" t="inlineStr">
        <is>
          <t>T1556</t>
        </is>
      </c>
      <c r="C207" s="16" t="inlineStr">
        <is>
          <t>Modify Authentication Process</t>
        </is>
      </c>
      <c r="D207" s="16" t="inlineStr">
        <is>
          <t>T1556.003</t>
        </is>
      </c>
      <c r="E207" s="16" t="inlineStr">
        <is>
          <t>Pluggable Authentication Modules</t>
        </is>
      </c>
      <c r="F207" s="16" t="inlineStr">
        <is>
          <t>Full</t>
        </is>
      </c>
      <c r="G207"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07"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07"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07"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07" s="16" t="n"/>
      <c r="L207" s="16" t="inlineStr">
        <is>
          <t>https://attack.mitre.org/techniques/T1556</t>
        </is>
      </c>
    </row>
    <row r="208" ht="236.55" customHeight="1" s="7">
      <c r="A208" s="16" t="inlineStr">
        <is>
          <t>Persistence</t>
        </is>
      </c>
      <c r="B208" s="16" t="inlineStr">
        <is>
          <t>T1556</t>
        </is>
      </c>
      <c r="C208" s="16" t="inlineStr">
        <is>
          <t>Modify Authentication Process</t>
        </is>
      </c>
      <c r="D208" s="16" t="inlineStr">
        <is>
          <t>T1556.004</t>
        </is>
      </c>
      <c r="E208" s="16" t="inlineStr">
        <is>
          <t>Network Device Authentication</t>
        </is>
      </c>
      <c r="F208" s="16" t="inlineStr">
        <is>
          <t>Full</t>
        </is>
      </c>
      <c r="G208"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08"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08"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08"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08" s="16" t="n"/>
      <c r="L208" s="16" t="inlineStr">
        <is>
          <t>https://attack.mitre.org/techniques/T1556</t>
        </is>
      </c>
    </row>
    <row r="209" ht="236.55" customHeight="1" s="7">
      <c r="A209" s="16" t="inlineStr">
        <is>
          <t>Persistence</t>
        </is>
      </c>
      <c r="B209" s="16" t="inlineStr">
        <is>
          <t>T1556</t>
        </is>
      </c>
      <c r="C209" s="16" t="inlineStr">
        <is>
          <t>Modify Authentication Process</t>
        </is>
      </c>
      <c r="D209" s="16" t="inlineStr">
        <is>
          <t>T1556.005</t>
        </is>
      </c>
      <c r="E209" s="16" t="inlineStr">
        <is>
          <t>Reversible Encryption</t>
        </is>
      </c>
      <c r="F209" s="16" t="inlineStr">
        <is>
          <t>Full</t>
        </is>
      </c>
      <c r="G209"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09"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09"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09"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09" s="16" t="n"/>
      <c r="L209" s="16" t="inlineStr">
        <is>
          <t>https://attack.mitre.org/techniques/T1556</t>
        </is>
      </c>
    </row>
    <row r="210" ht="236.55" customHeight="1" s="7">
      <c r="A210" s="16" t="inlineStr">
        <is>
          <t>Persistence</t>
        </is>
      </c>
      <c r="B210" s="16" t="inlineStr">
        <is>
          <t>T1556</t>
        </is>
      </c>
      <c r="C210" s="16" t="inlineStr">
        <is>
          <t>Modify Authentication Process</t>
        </is>
      </c>
      <c r="D210" s="16" t="inlineStr">
        <is>
          <t>T1556.006</t>
        </is>
      </c>
      <c r="E210" s="16" t="inlineStr">
        <is>
          <t>Multi-Factor Authentication</t>
        </is>
      </c>
      <c r="F210" s="16" t="inlineStr">
        <is>
          <t>Full</t>
        </is>
      </c>
      <c r="G210"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10"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10"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10"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10" s="16" t="n"/>
      <c r="L210" s="16" t="inlineStr">
        <is>
          <t>https://attack.mitre.org/techniques/T1556</t>
        </is>
      </c>
    </row>
    <row r="211" ht="236.55" customHeight="1" s="7">
      <c r="A211" s="16" t="inlineStr">
        <is>
          <t>Persistence</t>
        </is>
      </c>
      <c r="B211" s="16" t="inlineStr">
        <is>
          <t>T1556</t>
        </is>
      </c>
      <c r="C211" s="16" t="inlineStr">
        <is>
          <t>Modify Authentication Process</t>
        </is>
      </c>
      <c r="D211" s="16" t="inlineStr">
        <is>
          <t>T1556.007</t>
        </is>
      </c>
      <c r="E211" s="16" t="inlineStr">
        <is>
          <t>Hybrid Identity</t>
        </is>
      </c>
      <c r="F211" s="16" t="inlineStr">
        <is>
          <t>Full</t>
        </is>
      </c>
      <c r="G211"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11"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11"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11"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11" s="16" t="n"/>
      <c r="L211" s="16" t="inlineStr">
        <is>
          <t>https://attack.mitre.org/techniques/T1556</t>
        </is>
      </c>
    </row>
    <row r="212" ht="236.55" customHeight="1" s="7">
      <c r="A212" s="16" t="inlineStr">
        <is>
          <t>Persistence</t>
        </is>
      </c>
      <c r="B212" s="16" t="inlineStr">
        <is>
          <t>T1556</t>
        </is>
      </c>
      <c r="C212" s="16" t="inlineStr">
        <is>
          <t>Modify Authentication Process</t>
        </is>
      </c>
      <c r="D212" s="16" t="inlineStr">
        <is>
          <t>T1556.008</t>
        </is>
      </c>
      <c r="E212" s="16" t="inlineStr">
        <is>
          <t>Network Provider DLL</t>
        </is>
      </c>
      <c r="F212" s="16" t="inlineStr">
        <is>
          <t>Full</t>
        </is>
      </c>
      <c r="G212"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12"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12"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12"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12" s="16" t="n"/>
      <c r="L212" s="16" t="inlineStr">
        <is>
          <t>https://attack.mitre.org/techniques/T1556</t>
        </is>
      </c>
    </row>
    <row r="213" ht="236.55" customHeight="1" s="7">
      <c r="A213" s="16" t="inlineStr">
        <is>
          <t>Persistence</t>
        </is>
      </c>
      <c r="B213" s="16" t="inlineStr">
        <is>
          <t>T1556</t>
        </is>
      </c>
      <c r="C213" s="16" t="inlineStr">
        <is>
          <t>Modify Authentication Process</t>
        </is>
      </c>
      <c r="D213" s="16" t="inlineStr">
        <is>
          <t>T1556.009</t>
        </is>
      </c>
      <c r="E213" s="16" t="inlineStr">
        <is>
          <t>Conditional Access Policies</t>
        </is>
      </c>
      <c r="F213" s="16" t="inlineStr">
        <is>
          <t>Full</t>
        </is>
      </c>
      <c r="G213" s="16" t="inlineStr">
        <is>
          <t>- Weakness of decentralized authentication: in the DID ecosystem, VC verification is performed by Verifiers, and manipulating the verification logic collapses the entire trust framework, with more critical impact than on a traditional central authentication server.
- Complexity of verification logic: complex verification steps such as JSON Schema, JSON-LD contexts, and ZKP verification contain many points for logic errors or deliberate manipulation, e.g., invalidating credentialSchema or bypassing proof verification.
- When multiple Verifiers use different verification policies, manipulating only some Verifiers allows partial bypass; without a consensus mechanism for verification results, there is a single point of failure.
- Open-source basis: most DID implementations are open source, so attackers can analyze the source code and identify precise attack points; the verification logic of major frameworks such as Hyperledger Aries and Veramo is public.
- When VC schemas are referenced by URL, compromising the schema server allows the verification criteria to be manipulated in real time.
- ZKP implementation vulnerabilities: implementation errors in zero-knowledge proof libraries such as zk-SNARKs and zk-STARKs can be exploited, e.g., manipulation of the Trusted Setup phase or bypass of circuit logic.</t>
        </is>
      </c>
      <c r="H213" s="16" t="inlineStr">
        <is>
          <t>1. Authentication logic manipulation: bypassing or altering normal authentication procedures to allow unauthorized access.
2. Alteration of the verification process: modifying credential validation rules in the attacker's favor.
3. Backdoor creation: creating bypass paths, known only to the attacker, besides the normal authentication path.
4. Exploitation of system trust: exploiting the fact that users and systems trust the authentication mechanism.
5. Privilege escalation: starting with low privileges and obtaining high privileges by manipulating the authentication process.</t>
        </is>
      </c>
      <c r="I213" s="16" t="inlineStr">
        <is>
          <t>- Structural difference: conventionally a centralized authentication server (LDAP, Kerberos), whereas DID is a structure in which distributed Verifier nodes operate.
- Verification difference: conventionally server-side password hash comparison, whereas DID uses client-side digital signature verification.
- Target of attack (manipulation): conventionally the configuration and code of a single authentication server, whereas in DID the VC schema verification logic of multiple Verifiers.
- DID requires consensus on verification results among multiple Verifiers.
- Conventionally it suffices to restore the central server, whereas DID requires individual recovery of distributed Verifiers.
- DID must detect attacks by detecting anomalous patterns in a distributed environment.</t>
        </is>
      </c>
      <c r="J213" s="16" t="inlineStr">
        <is>
          <t>1. Ensuring Verifier integrity: code signature verification and container image scanning.
2. Protecting VC verification logic: encrypted storage of verification rules and multi-party approval.
3. Distributed verification architecture: cross-verification by multiple Verifiers and consensus algorithms.
4. Audit log system: tracking verification results and managing change history.</t>
        </is>
      </c>
      <c r="K213" s="16" t="n"/>
      <c r="L213" s="16" t="inlineStr">
        <is>
          <t>https://attack.mitre.org/techniques/T1556</t>
        </is>
      </c>
    </row>
    <row r="214" ht="191.75" customHeight="1" s="7">
      <c r="A214" s="16" t="inlineStr">
        <is>
          <t>Persistence</t>
        </is>
      </c>
      <c r="B214" s="16" t="inlineStr">
        <is>
          <t>T1112</t>
        </is>
      </c>
      <c r="C214" s="16" t="inlineStr">
        <is>
          <t>Modify Registry</t>
        </is>
      </c>
      <c r="D214" s="16" t="n"/>
      <c r="E214" s="16" t="n"/>
      <c r="F214" s="16" t="inlineStr">
        <is>
          <t>Partial</t>
        </is>
      </c>
      <c r="G214" s="16" t="inlineStr">
        <is>
          <t>- Network configuration manipulation: modifying the registry so that the wallet connects to an attacker-controlled testnet instead of the mainnet, i.e., a malicious network that returns fake DID Documents and forged VCs.
- Manipulating registry settings for DID wallet security features, e.g., disabling phishing-site warnings, bypassing hardware wallet verification, or skipping the transaction confirmation process.
- Limited platform: applies only to Windows; macOS (plist) and Linux (config files) environments require different attack vectors, and the share of Windows among DID users is relatively low.
- Web-first: most DID services are web-browser-based and depend little on the registry; browser extensions such as MetaMask use the browser's internal storage (MetaMask: a software cryptocurrency wallet used to interact with the Ethereum blockchain).</t>
        </is>
      </c>
      <c r="H214" s="16" t="inlineStr">
        <is>
          <t>1. System configuration manipulation: modifies system behavior by changing core system settings.
2. Persistence: configuration changes that survive a system restart.
3. Privilege use: changes critical settings using system or administrator privileges.
4. Stealth: manipulates back-end settings that are not directly exposed in the user interface.
5. System integration: uses the legitimate configuration mechanisms of the OS and thus avoids suspicion.</t>
        </is>
      </c>
      <c r="I214" s="16" t="inlineStr">
        <is>
          <t>Scope: the conventional technique targets system-wide configuration (the Registry), whereas DID uses per-application configuration.
Access method: conventionally RegEdit and PowerShell cmdlets; in DID, the JavaScript localStorage API and configuration-file editing.
Privilege requirements: conventionally administrator privileges (HKLM) or user privileges (HKCU); in DID, application privileges. (HKEY_LOCAL_MACHINE stores many aspects of the Windows configuration, including information about services started at every boot; HKEY_CURRENT_USER stores aspects related to the logged-in user.)
Audit trail: conventionally the Windows event log and Process Monitor; in DID, browser developer tools and application logs.</t>
        </is>
      </c>
      <c r="J214" s="16" t="inlineStr">
        <is>
          <t>1. DID wallet registry monitoring: monitor changes to DID-related registry keys.
2. Autorun key protection: prevent improper autorun of DID applications.
3. Configuration integrity verification: detect unauthorized changes to DID wallet settings.
4. Privilege restriction: minimize the registry access rights of DID applications.</t>
        </is>
      </c>
      <c r="K214" s="16" t="n"/>
      <c r="L214" s="16" t="inlineStr">
        <is>
          <t>https://attack.mitre.org/techniques/T1112</t>
        </is>
      </c>
    </row>
    <row r="215" ht="180.55" customHeight="1" s="7">
      <c r="A215" s="16" t="inlineStr">
        <is>
          <t>Persistence</t>
        </is>
      </c>
      <c r="B215" s="16" t="inlineStr">
        <is>
          <t>T1137</t>
        </is>
      </c>
      <c r="C215" s="16" t="inlineStr">
        <is>
          <t>Office Application Startup</t>
        </is>
      </c>
      <c r="D215" s="16" t="inlineStr">
        <is>
          <t>T1137.001</t>
        </is>
      </c>
      <c r="E215" s="16" t="inlineStr">
        <is>
          <t>Office Template Macros</t>
        </is>
      </c>
      <c r="F215" s="16" t="inlineStr">
        <is>
          <t>No</t>
        </is>
      </c>
      <c r="G215" s="16" t="inlineStr">
        <is>
          <t>DID document disguise: malicious Office files disguised as DID-related business documents, such as 'DID Wallet Recovery Guide.docx' or 'Blockchain Identity Credential Application.xlsx', install a fake DID wallet via VBA macros.
VC template abuse: macros are inserted into Excel-based VC issuance templates; forms that enterprises use to collect employee identity information are abused to steal personal data.
Limited attack surface: DID ecosystem users are generally tech-savvy and security-conscious; they are relatively cautious about running macros, so the attack success rate is low.
Mobile-centric use: most DID users prefer mobile environments and rarely encounter PC Office documents; Office macros cannot run on smartphones.
Preference for alternative tools: the Web3 community prefers cloud-based collaboration tools such as Google Docs and Notion; its relatively low dependence on Microsoft Office limits attack opportunities.</t>
        </is>
      </c>
      <c r="H215" s="16" t="inlineStr">
        <is>
          <t>1. Execution at application startup: code runs automatically when a specific application starts.
2. Document-based propagation: malicious code is distributed through documents or templates.
3. Macros and scripts: malicious actions through scripts such as VBA or JavaScript.
4. Abuse of user trust: gains the user's trust by disguising itself as a legitimate document.</t>
        </is>
      </c>
      <c r="I215" s="16" t="inlineStr">
        <is>
          <t>Environment: the conventional attack runs inside Office applications; in DID, it would run in browser or mobile app environments.
Scripting language: conventionally VBA and VBScript; in DID, JavaScript and WebAssembly.
Network access: conventionally direct HTTP requests; in DID, API calls subject to CORS restrictions (CORS, Cross-Origin Resource Sharing, is a mechanism that allows restricted resources on a web page to be requested from a domain other than the one from which the resource was originally served).
Distribution: conventionally email attachments and file sharing; in DID, websites and app stores.</t>
        </is>
      </c>
      <c r="J215" s="16" t="inlineStr">
        <is>
          <t>1. Security of DID-related documents: detect DID key backup files disguised as Office documents.
2. Macro scanning: scan documents related to DID wallet installation for malicious macros.
3. Email security: filter Office attachments in DID-related phishing emails.
4. User education: users need to be trained to recognize DID-related social engineering attacks delivered through Office documents.</t>
        </is>
      </c>
      <c r="K215" s="16" t="n"/>
      <c r="L215" s="16" t="inlineStr">
        <is>
          <t>https://attack.mitre.org/techniques/T1137</t>
        </is>
      </c>
    </row>
    <row r="216" ht="180.55" customHeight="1" s="7">
      <c r="A216" s="16" t="inlineStr">
        <is>
          <t>Persistence</t>
        </is>
      </c>
      <c r="B216" s="16" t="inlineStr">
        <is>
          <t>T1137</t>
        </is>
      </c>
      <c r="C216" s="16" t="inlineStr">
        <is>
          <t>Office Application Startup</t>
        </is>
      </c>
      <c r="D216" s="16" t="inlineStr">
        <is>
          <t>T1137.002</t>
        </is>
      </c>
      <c r="E216" s="16" t="inlineStr">
        <is>
          <t>Office Test</t>
        </is>
      </c>
      <c r="F216" s="16" t="inlineStr">
        <is>
          <t>No</t>
        </is>
      </c>
      <c r="G216" s="16" t="inlineStr">
        <is>
          <t>DID document disguise: malicious Office files disguised as DID-related business documents, such as 'DID Wallet Recovery Guide.docx' or 'Blockchain Identity Credential Application.xlsx', install a fake DID wallet via VBA macros.
VC template abuse: macros are inserted into Excel-based VC issuance templates; forms that enterprises use to collect employee identity information are abused to steal personal data.
Limited attack surface: DID ecosystem users are generally tech-savvy and security-conscious; they are relatively cautious about running macros, so the attack success rate is low.
Mobile-centric use: most DID users prefer mobile environments and rarely encounter PC Office documents; Office macros cannot run on smartphones.
Preference for alternative tools: the Web3 community prefers cloud-based collaboration tools such as Google Docs and Notion; its relatively low dependence on Microsoft Office limits attack opportunities.</t>
        </is>
      </c>
      <c r="H216" s="16" t="inlineStr">
        <is>
          <t>1. Execution at application startup: code runs automatically when a specific application starts.
2. Document-based propagation: malicious code is distributed through documents or templates.
3. Macros and scripts: malicious actions through scripts such as VBA or JavaScript.
4. Abuse of user trust: gains the user's trust by disguising itself as a legitimate document.</t>
        </is>
      </c>
      <c r="I216" s="16" t="inlineStr">
        <is>
          <t>Environment: the conventional attack runs inside Office applications; in DID, it would run in browser or mobile app environments.
Scripting language: conventionally VBA and VBScript; in DID, JavaScript and WebAssembly.
Network access: conventionally direct HTTP requests; in DID, API calls subject to CORS restrictions (CORS, Cross-Origin Resource Sharing, is a mechanism that allows restricted resources on a web page to be requested from a domain other than the one from which the resource was originally served).
Distribution: conventionally email attachments and file sharing; in DID, websites and app stores.</t>
        </is>
      </c>
      <c r="J216" s="16" t="inlineStr">
        <is>
          <t>1. Security of DID-related documents: detect DID key backup files disguised as Office documents.
2. Macro scanning: scan documents related to DID wallet installation for malicious macros.
3. Email security: filter Office attachments in DID-related phishing emails.
4. User education: users need to be trained to recognize DID-related social engineering attacks delivered through Office documents.</t>
        </is>
      </c>
      <c r="K216" s="16" t="n"/>
      <c r="L216" s="16" t="inlineStr">
        <is>
          <t>https://attack.mitre.org/techniques/T1137</t>
        </is>
      </c>
    </row>
    <row r="217" ht="180.55" customHeight="1" s="7">
      <c r="A217" s="16" t="inlineStr">
        <is>
          <t>Persistence</t>
        </is>
      </c>
      <c r="B217" s="16" t="inlineStr">
        <is>
          <t>T1137</t>
        </is>
      </c>
      <c r="C217" s="16" t="inlineStr">
        <is>
          <t>Office Application Startup</t>
        </is>
      </c>
      <c r="D217" s="16" t="inlineStr">
        <is>
          <t>T1137.003</t>
        </is>
      </c>
      <c r="E217" s="16" t="inlineStr">
        <is>
          <t>Outlook Forms</t>
        </is>
      </c>
      <c r="F217" s="16" t="inlineStr">
        <is>
          <t>No</t>
        </is>
      </c>
      <c r="G217" s="16" t="inlineStr">
        <is>
          <t>DID document disguise: malicious Office files disguised as DID-related business documents, such as 'DID Wallet Recovery Guide.docx' or 'Blockchain Identity Credential Application.xlsx', install a fake DID wallet via VBA macros.
VC template abuse: macros are inserted into Excel-based VC issuance templates; forms that enterprises use to collect employee identity information are abused to steal personal data.
Limited attack surface: DID ecosystem users are generally tech-savvy and security-conscious; they are relatively cautious about running macros, so the attack success rate is low.
Mobile-centric use: most DID users prefer mobile environments and rarely encounter PC Office documents; Office macros cannot run on smartphones.
Preference for alternative tools: the Web3 community prefers cloud-based collaboration tools such as Google Docs and Notion; its relatively low dependence on Microsoft Office limits attack opportunities.</t>
        </is>
      </c>
      <c r="H217" s="16" t="inlineStr">
        <is>
          <t>1. Execution at application startup: code runs automatically when a specific application starts.
2. Document-based propagation: malicious code is distributed through documents or templates.
3. Macros and scripts: malicious actions through scripts such as VBA or JavaScript.
4. Abuse of user trust: gains the user's trust by disguising itself as a legitimate document.</t>
        </is>
      </c>
      <c r="I217" s="16" t="inlineStr">
        <is>
          <t>Environment: the conventional attack runs inside Office applications; in DID, it would run in browser or mobile app environments.
Scripting language: conventionally VBA and VBScript; in DID, JavaScript and WebAssembly.
Network access: conventionally direct HTTP requests; in DID, API calls subject to CORS restrictions (CORS, Cross-Origin Resource Sharing, is a mechanism that allows restricted resources on a web page to be requested from a domain other than the one from which the resource was originally served).
Distribution: conventionally email attachments and file sharing; in DID, websites and app stores.</t>
        </is>
      </c>
      <c r="J217" s="16" t="inlineStr">
        <is>
          <t>1. Security of DID-related documents: detect DID key backup files disguised as Office documents.
2. Macro scanning: scan documents related to DID wallet installation for malicious macros.
3. Email security: filter Office attachments in DID-related phishing emails.
4. User education: users need to be trained to recognize DID-related social engineering attacks delivered through Office documents.</t>
        </is>
      </c>
      <c r="K217" s="16" t="n"/>
      <c r="L217" s="16" t="inlineStr">
        <is>
          <t>https://attack.mitre.org/techniques/T1137</t>
        </is>
      </c>
    </row>
    <row r="218" ht="180.55" customHeight="1" s="7">
      <c r="A218" s="16" t="inlineStr">
        <is>
          <t>Persistence</t>
        </is>
      </c>
      <c r="B218" s="16" t="inlineStr">
        <is>
          <t>T1137</t>
        </is>
      </c>
      <c r="C218" s="16" t="inlineStr">
        <is>
          <t>Office Application Startup</t>
        </is>
      </c>
      <c r="D218" s="16" t="inlineStr">
        <is>
          <t>T1137.004</t>
        </is>
      </c>
      <c r="E218" s="16" t="inlineStr">
        <is>
          <t>Outlook Home Page</t>
        </is>
      </c>
      <c r="F218" s="16" t="inlineStr">
        <is>
          <t>No</t>
        </is>
      </c>
      <c r="G218" s="16" t="inlineStr">
        <is>
          <t>DID document disguise: malicious Office files disguised as DID-related business documents, such as 'DID Wallet Recovery Guide.docx' or 'Blockchain Identity Credential Application.xlsx', install a fake DID wallet via VBA macros.
VC template abuse: macros are inserted into Excel-based VC issuance templates; forms that enterprises use to collect employee identity information are abused to steal personal data.
Limited attack surface: DID ecosystem users are generally tech-savvy and security-conscious; they are relatively cautious about running macros, so the attack success rate is low.
Mobile-centric use: most DID users prefer mobile environments and rarely encounter PC Office documents; Office macros cannot run on smartphones.
Preference for alternative tools: the Web3 community prefers cloud-based collaboration tools such as Google Docs and Notion; its relatively low dependence on Microsoft Office limits attack opportunities.</t>
        </is>
      </c>
      <c r="H218" s="16" t="inlineStr">
        <is>
          <t>1. Execution at application startup: code runs automatically when a specific application starts.
2. Document-based propagation: malicious code is distributed through documents or templates.
3. Macros and scripts: malicious actions through scripts such as VBA or JavaScript.
4. Abuse of user trust: gains the user's trust by disguising itself as a legitimate document.</t>
        </is>
      </c>
      <c r="I218" s="16" t="inlineStr">
        <is>
          <t>Environment: the conventional attack runs inside Office applications; in DID, it would run in browser or mobile app environments.
Scripting language: conventionally VBA and VBScript; in DID, JavaScript and WebAssembly.
Network access: conventionally direct HTTP requests; in DID, API calls subject to CORS restrictions (CORS, Cross-Origin Resource Sharing, is a mechanism that allows restricted resources on a web page to be requested from a domain other than the one from which the resource was originally served).
Distribution: conventionally email attachments and file sharing; in DID, websites and app stores.</t>
        </is>
      </c>
      <c r="J218" s="16" t="inlineStr">
        <is>
          <t>1. Security of DID-related documents: detect DID key backup files disguised as Office documents.
2. Macro scanning: scan documents related to DID wallet installation for malicious macros.
3. Email security: filter Office attachments in DID-related phishing emails.
4. User education: users need to be trained to recognize DID-related social engineering attacks delivered through Office documents.</t>
        </is>
      </c>
      <c r="K218" s="16" t="n"/>
      <c r="L218" s="16" t="inlineStr">
        <is>
          <t>https://attack.mitre.org/techniques/T1137</t>
        </is>
      </c>
    </row>
    <row r="219" ht="180.55" customHeight="1" s="7">
      <c r="A219" s="16" t="inlineStr">
        <is>
          <t>Persistence</t>
        </is>
      </c>
      <c r="B219" s="16" t="inlineStr">
        <is>
          <t>T1137</t>
        </is>
      </c>
      <c r="C219" s="16" t="inlineStr">
        <is>
          <t>Office Application Startup</t>
        </is>
      </c>
      <c r="D219" s="16" t="inlineStr">
        <is>
          <t>T1137.005</t>
        </is>
      </c>
      <c r="E219" s="16" t="inlineStr">
        <is>
          <t>Outlook Rules</t>
        </is>
      </c>
      <c r="F219" s="16" t="inlineStr">
        <is>
          <t>No</t>
        </is>
      </c>
      <c r="G219" s="16" t="inlineStr">
        <is>
          <t>DID document disguise: malicious Office files disguised as DID-related business documents, such as 'DID Wallet Recovery Guide.docx' or 'Blockchain Identity Credential Application.xlsx', install a fake DID wallet via VBA macros.
VC template abuse: macros are inserted into Excel-based VC issuance templates; forms that enterprises use to collect employee identity information are abused to steal personal data.
Limited attack surface: DID ecosystem users are generally tech-savvy and security-conscious; they are relatively cautious about running macros, so the attack success rate is low.
Mobile-centric use: most DID users prefer mobile environments and rarely encounter PC Office documents; Office macros cannot run on smartphones.
Preference for alternative tools: the Web3 community prefers cloud-based collaboration tools such as Google Docs and Notion; its relatively low dependence on Microsoft Office limits attack opportunities.</t>
        </is>
      </c>
      <c r="H219" s="16" t="inlineStr">
        <is>
          <t>1. Execution at application startup: code runs automatically when a specific application starts.
2. Document-based propagation: malicious code is distributed through documents or templates.
3. Macros and scripts: malicious actions through scripts such as VBA or JavaScript.
4. Abuse of user trust: gains the user's trust by disguising itself as a legitimate document.</t>
        </is>
      </c>
      <c r="I219" s="16" t="inlineStr">
        <is>
          <t>Environment: the conventional attack runs inside Office applications; in DID, it would run in browser or mobile app environments.
Scripting language: conventionally VBA and VBScript; in DID, JavaScript and WebAssembly.
Network access: conventionally direct HTTP requests; in DID, API calls subject to CORS restrictions (CORS, Cross-Origin Resource Sharing, is a mechanism that allows restricted resources on a web page to be requested from a domain other than the one from which the resource was originally served).
Distribution: conventionally email attachments and file sharing; in DID, websites and app stores.</t>
        </is>
      </c>
      <c r="J219" s="16" t="inlineStr">
        <is>
          <t>1. Security of DID-related documents: detect DID key backup files disguised as Office documents.
2. Macro scanning: scan documents related to DID wallet installation for malicious macros.
3. Email security: filter Office attachments in DID-related phishing emails.
4. User education: users need to be trained to recognize DID-related social engineering attacks delivered through Office documents.</t>
        </is>
      </c>
      <c r="K219" s="16" t="n"/>
      <c r="L219" s="16" t="inlineStr">
        <is>
          <t>https://attack.mitre.org/techniques/T1137</t>
        </is>
      </c>
    </row>
    <row r="220" ht="180.55" customHeight="1" s="7">
      <c r="A220" s="16" t="inlineStr">
        <is>
          <t>Persistence</t>
        </is>
      </c>
      <c r="B220" s="16" t="inlineStr">
        <is>
          <t>T1137</t>
        </is>
      </c>
      <c r="C220" s="16" t="inlineStr">
        <is>
          <t>Office Application Startup</t>
        </is>
      </c>
      <c r="D220" s="16" t="inlineStr">
        <is>
          <t>T1137.006</t>
        </is>
      </c>
      <c r="E220" s="16" t="inlineStr">
        <is>
          <t>Add-ins</t>
        </is>
      </c>
      <c r="F220" s="16" t="inlineStr">
        <is>
          <t>No</t>
        </is>
      </c>
      <c r="G220" s="16" t="inlineStr">
        <is>
          <t>DID document disguise: malicious Office files disguised as DID-related business documents, such as 'DID Wallet Recovery Guide.docx' or 'Blockchain Identity Credential Application.xlsx', install a fake DID wallet via VBA macros.
VC template abuse: macros are inserted into Excel-based VC issuance templates; forms that enterprises use to collect employee identity information are abused to steal personal data.
Limited attack surface: DID ecosystem users are generally tech-savvy and security-conscious; they are relatively cautious about running macros, so the attack success rate is low.
Mobile-centric use: most DID users prefer mobile environments and rarely encounter PC Office documents; Office macros cannot run on smartphones.
Preference for alternative tools: the Web3 community prefers cloud-based collaboration tools such as Google Docs and Notion; its relatively low dependence on Microsoft Office limits attack opportunities.</t>
        </is>
      </c>
      <c r="H220" s="16" t="inlineStr">
        <is>
          <t>1. Execution at application startup: code runs automatically when a specific application starts.
2. Document-based propagation: malicious code is distributed through documents or templates.
3. Macros and scripts: malicious actions through scripts such as VBA or JavaScript.
4. Abuse of user trust: gains the user's trust by disguising itself as a legitimate document.</t>
        </is>
      </c>
      <c r="I220" s="16" t="inlineStr">
        <is>
          <t>Environment: the conventional attack runs inside Office applications; in DID, it would run in browser or mobile app environments.
Scripting language: conventionally VBA and VBScript; in DID, JavaScript and WebAssembly.
Network access: conventionally direct HTTP requests; in DID, API calls subject to CORS restrictions (CORS, Cross-Origin Resource Sharing, is a mechanism that allows restricted resources on a web page to be requested from a domain other than the one from which the resource was originally served).
Distribution: conventionally email attachments and file sharing; in DID, websites and app stores.</t>
        </is>
      </c>
      <c r="J220" s="16" t="inlineStr">
        <is>
          <t>1. Security of DID-related documents: detect DID key backup files disguised as Office documents.
2. Macro scanning: scan documents related to DID wallet installation for malicious macros.
3. Email security: filter Office attachments in DID-related phishing emails.
4. User education: users need to be trained to recognize DID-related social engineering attacks delivered through Office documents.</t>
        </is>
      </c>
      <c r="K220" s="16" t="n"/>
      <c r="L220" s="16" t="inlineStr">
        <is>
          <t>https://attack.mitre.org/techniques/T1137</t>
        </is>
      </c>
    </row>
    <row r="221" ht="158.2" customHeight="1" s="7">
      <c r="A221" s="16" t="inlineStr">
        <is>
          <t>Persistence</t>
        </is>
      </c>
      <c r="B221" s="16" t="inlineStr">
        <is>
          <t>T1653</t>
        </is>
      </c>
      <c r="C221" s="16" t="inlineStr">
        <is>
          <t>Power Settings</t>
        </is>
      </c>
      <c r="D221" s="16" t="n"/>
      <c r="E221" s="16" t="n"/>
      <c r="F221" s="16" t="inlineStr">
        <is>
          <t>No</t>
        </is>
      </c>
      <c r="G221" s="16" t="inlineStr">
        <is>
          <t>Limited to client devices: manipulating the power settings of a PC or smartphone on which a DID wallet is installed can create an environment for continuous monitoring, but this has little direct relevance to DID security itself.
Limited relevance to server infrastructure: DID Issuer and Verifier servers are generally 24/7 servers in data centers and are unaffected by power management policies; the technique does not apply in cloud environments.
Most DID users use mobile devices, and iOS/Android do not allow system power settings to be manipulated at the app level.
Most DID services run in web browsers and are isolated from OS power settings.
Manipulating power settings alone cannot directly enable attacks such as DID private-key theft or authentication bypass.</t>
        </is>
      </c>
      <c r="H221" s="16" t="inlineStr">
        <is>
          <t>1. Keeping the system active: keeps the system awake for continuous background activity.
2. Preventing automatic sleep makes it difficult for the user to notice changes in system state.
3. Delaying system shutdown/restart extends the attacker's activity time.
4. Allows continuous use of system resources such as CPU, network, and disk.</t>
        </is>
      </c>
      <c r="I221" s="16" t="inlineStr">
        <is>
          <t>Environment: conventionally desktop/server systems; DID is centered on mobile and web browsers.
Conventionally OS-level power policies; in DID, application-level session management.
Conventionally power-consumption monitoring; in DID, network traffic analysis.
As countermeasures, conventionally restoring power policies; in DID, key rotation and session invalidation.
Scope of impact: conventionally a single device; in DID, the entire distributed network.</t>
        </is>
      </c>
      <c r="J221" s="16" t="inlineStr">
        <is>
          <t>1. DID wallet power management: policies restricting background execution of mobile DID wallets.
2. Server monitoring: detect abnormal power-consumption patterns on DID infrastructure servers.
3. Client security: secure power management policy settings when using PC-based DID wallets.</t>
        </is>
      </c>
      <c r="K221" s="16" t="n"/>
      <c r="L221" s="16" t="inlineStr">
        <is>
          <t>https://attack.mitre.org/techniques/T1653</t>
        </is>
      </c>
    </row>
    <row r="222" ht="147" customHeight="1" s="7">
      <c r="A222" s="16" t="inlineStr">
        <is>
          <t>Persistence</t>
        </is>
      </c>
      <c r="B222" s="16" t="inlineStr">
        <is>
          <t>T1542</t>
        </is>
      </c>
      <c r="C222" s="16" t="inlineStr">
        <is>
          <t>Pre-OS Boot</t>
        </is>
      </c>
      <c r="D222" s="16" t="inlineStr">
        <is>
          <t>T1542.001</t>
        </is>
      </c>
      <c r="E222" s="16" t="inlineStr">
        <is>
          <t>System Firmware</t>
        </is>
      </c>
      <c r="F222" s="16" t="inlineStr">
        <is>
          <t>No</t>
        </is>
      </c>
      <c r="G222" s="16" t="inlineStr">
        <is>
          <t>DID systems are web-based services and have no direct relation to Windows BITS.</t>
        </is>
      </c>
      <c r="H222" s="16" t="inlineStr">
        <is>
          <t>1. Background task execution: performs tasks using system resources without the user's awareness.
2. Network communication: receives commands and sends results by exchanging data with external servers.
3. Use of system privileges: performs tasks using the privileges of default Windows system services.
4. Bandwidth management: schedules background tasks to use system resources efficiently.</t>
        </is>
      </c>
      <c r="I222" s="16" t="inlineStr">
        <is>
          <t>DID is a cross-platform web standard (W3C DID Core), so it does not fit attack tactics carried out through the Windows-only BITS service (COM-based).
In addition, the conventional attack is performed at the OS system-service level, whereas DID operates at the browser and application level.
Conventionally HTTP/HTTPS file transfer (RFC 7230-7235); in DID, JSON-LD-based data exchange (RFC 8259).
Conventionally, data is handled through binary file downloads/uploads; DID handles structured credentials and cryptographic proofs.</t>
        </is>
      </c>
      <c r="J222" s="16" t="inlineStr">
        <is>
          <t>-</t>
        </is>
      </c>
      <c r="K222" s="16" t="n"/>
      <c r="L222" s="16" t="inlineStr">
        <is>
          <t>https://attack.mitre.org/techniques/T1542</t>
        </is>
      </c>
    </row>
    <row r="223" ht="147" customHeight="1" s="7">
      <c r="A223" s="16" t="inlineStr">
        <is>
          <t>Persistence</t>
        </is>
      </c>
      <c r="B223" s="16" t="inlineStr">
        <is>
          <t>T1542</t>
        </is>
      </c>
      <c r="C223" s="16" t="inlineStr">
        <is>
          <t>Pre-OS Boot</t>
        </is>
      </c>
      <c r="D223" s="16" t="inlineStr">
        <is>
          <t>T1542.002</t>
        </is>
      </c>
      <c r="E223" s="16" t="inlineStr">
        <is>
          <t>Component Firmware</t>
        </is>
      </c>
      <c r="F223" s="16" t="inlineStr">
        <is>
          <t>No</t>
        </is>
      </c>
      <c r="G223" s="16" t="inlineStr">
        <is>
          <t>DID systems are web-based services and have no direct relation to Windows BITS.</t>
        </is>
      </c>
      <c r="H223" s="16" t="inlineStr">
        <is>
          <t>1. Background task execution: performs tasks using system resources without the user's awareness.
2. Network communication: receives commands and sends results by exchanging data with external servers.
3. Use of system privileges: performs tasks using the privileges of default Windows system services.
4. Bandwidth management: schedules background tasks to use system resources efficiently.</t>
        </is>
      </c>
      <c r="I223" s="16" t="inlineStr">
        <is>
          <t>DID is a cross-platform web standard (W3C DID Core), so it does not fit attack tactics carried out through the Windows-only BITS service (COM-based).
In addition, the conventional attack is performed at the OS system-service level, whereas DID operates at the browser and application level.
Conventionally HTTP/HTTPS file transfer (RFC 7230-7235); in DID, JSON-LD-based data exchange (RFC 8259).
Conventionally, data is handled through binary file downloads/uploads; DID handles structured credentials and cryptographic proofs.</t>
        </is>
      </c>
      <c r="J223" s="16" t="inlineStr">
        <is>
          <t>-</t>
        </is>
      </c>
      <c r="K223" s="16" t="n"/>
      <c r="L223" s="16" t="inlineStr">
        <is>
          <t>https://attack.mitre.org/techniques/T1542</t>
        </is>
      </c>
    </row>
    <row r="224" ht="147" customHeight="1" s="7">
      <c r="A224" s="16" t="inlineStr">
        <is>
          <t>Persistence</t>
        </is>
      </c>
      <c r="B224" s="16" t="inlineStr">
        <is>
          <t>T1542</t>
        </is>
      </c>
      <c r="C224" s="16" t="inlineStr">
        <is>
          <t>Pre-OS Boot</t>
        </is>
      </c>
      <c r="D224" s="16" t="inlineStr">
        <is>
          <t>T1542.003</t>
        </is>
      </c>
      <c r="E224" s="16" t="inlineStr">
        <is>
          <t>Bootkit</t>
        </is>
      </c>
      <c r="F224" s="16" t="inlineStr">
        <is>
          <t>No</t>
        </is>
      </c>
      <c r="G224" s="16" t="inlineStr">
        <is>
          <t>DID systems are web-based services and have no direct relation to Windows BITS.</t>
        </is>
      </c>
      <c r="H224" s="16" t="inlineStr">
        <is>
          <t>1. Background task execution: performs tasks using system resources without the user's awareness.
2. Network communication: receives commands and sends results by exchanging data with external servers.
3. Use of system privileges: performs tasks using the privileges of default Windows system services.
4. Bandwidth management: schedules background tasks to use system resources efficiently.</t>
        </is>
      </c>
      <c r="I224" s="16" t="inlineStr">
        <is>
          <t>DID is a cross-platform web standard (W3C DID Core), so it does not fit attack tactics carried out through the Windows-only BITS service (COM-based).
In addition, the conventional attack is performed at the OS system-service level, whereas DID operates at the browser and application level.
Conventionally HTTP/HTTPS file transfer (RFC 7230-7235); in DID, JSON-LD-based data exchange (RFC 8259).
Conventionally, data is handled through binary file downloads/uploads; DID handles structured credentials and cryptographic proofs.</t>
        </is>
      </c>
      <c r="J224" s="16" t="inlineStr">
        <is>
          <t>-</t>
        </is>
      </c>
      <c r="K224" s="16" t="n"/>
      <c r="L224" s="16" t="inlineStr">
        <is>
          <t>https://attack.mitre.org/techniques/T1542</t>
        </is>
      </c>
    </row>
    <row r="225" ht="147" customHeight="1" s="7">
      <c r="A225" s="16" t="inlineStr">
        <is>
          <t>Persistence</t>
        </is>
      </c>
      <c r="B225" s="16" t="inlineStr">
        <is>
          <t>T1542</t>
        </is>
      </c>
      <c r="C225" s="16" t="inlineStr">
        <is>
          <t>Pre-OS Boot</t>
        </is>
      </c>
      <c r="D225" s="16" t="inlineStr">
        <is>
          <t>T1542.004</t>
        </is>
      </c>
      <c r="E225" s="16" t="inlineStr">
        <is>
          <t>ROMMONkit</t>
        </is>
      </c>
      <c r="F225" s="16" t="inlineStr">
        <is>
          <t>No</t>
        </is>
      </c>
      <c r="G225" s="16" t="inlineStr">
        <is>
          <t>DID systems are web-based services and have no direct relation to Windows BITS.</t>
        </is>
      </c>
      <c r="H225" s="16" t="inlineStr">
        <is>
          <t>1. Background task execution: performs tasks using system resources without the user's awareness.
2. Network communication: receives commands and sends results by exchanging data with external servers.
3. Use of system privileges: performs tasks using the privileges of default Windows system services.
4. Bandwidth management: schedules background tasks to use system resources efficiently.</t>
        </is>
      </c>
      <c r="I225" s="16" t="inlineStr">
        <is>
          <t>DID is a cross-platform web standard (W3C DID Core), so it does not fit attack tactics carried out through the Windows-only BITS service (COM-based).
In addition, the conventional attack is performed at the OS system-service level, whereas DID operates at the browser and application level.
Conventionally HTTP/HTTPS file transfer (RFC 7230-7235); in DID, JSON-LD-based data exchange (RFC 8259).
Conventionally, data is handled through binary file downloads/uploads; DID handles structured credentials and cryptographic proofs.</t>
        </is>
      </c>
      <c r="J225" s="16" t="inlineStr">
        <is>
          <t>-</t>
        </is>
      </c>
      <c r="K225" s="16" t="n"/>
      <c r="L225" s="16" t="inlineStr">
        <is>
          <t>https://attack.mitre.org/techniques/T1542</t>
        </is>
      </c>
    </row>
    <row r="226" ht="147" customHeight="1" s="7">
      <c r="A226" s="16" t="inlineStr">
        <is>
          <t>Persistence</t>
        </is>
      </c>
      <c r="B226" s="16" t="inlineStr">
        <is>
          <t>T1542</t>
        </is>
      </c>
      <c r="C226" s="16" t="inlineStr">
        <is>
          <t>Pre-OS Boot</t>
        </is>
      </c>
      <c r="D226" s="16" t="inlineStr">
        <is>
          <t>T1542.005</t>
        </is>
      </c>
      <c r="E226" s="16" t="inlineStr">
        <is>
          <t>TFTP Boot</t>
        </is>
      </c>
      <c r="F226" s="16" t="inlineStr">
        <is>
          <t>No</t>
        </is>
      </c>
      <c r="G226" s="16" t="inlineStr">
        <is>
          <t>DID systems are web-based services and have no direct relation to Windows BITS.</t>
        </is>
      </c>
      <c r="H226" s="16" t="inlineStr">
        <is>
          <t>1. Background task execution: performs tasks using system resources without the user's awareness.
2. Network communication: receives commands and sends results by exchanging data with external servers.
3. Use of system privileges: performs tasks using the privileges of default Windows system services.
4. Bandwidth management: schedules background tasks to use system resources efficiently.</t>
        </is>
      </c>
      <c r="I226" s="16" t="inlineStr">
        <is>
          <t>DID is a cross-platform web standard (W3C DID Core), so it does not fit attack tactics carried out through the Windows-only BITS service (COM-based).
In addition, the conventional attack is performed at the OS system-service level, whereas DID operates at the browser and application level.
Conventionally HTTP/HTTPS file transfer (RFC 7230-7235); in DID, JSON-LD-based data exchange (RFC 8259).
Conventionally, data is handled through binary file downloads/uploads; DID handles structured credentials and cryptographic proofs.</t>
        </is>
      </c>
      <c r="J226" s="16" t="inlineStr">
        <is>
          <t>-</t>
        </is>
      </c>
      <c r="K226" s="16" t="n"/>
      <c r="L226" s="16" t="inlineStr">
        <is>
          <t>https://attack.mitre.org/techniques/T1542</t>
        </is>
      </c>
    </row>
    <row r="227" ht="202.95" customHeight="1" s="7">
      <c r="A227" s="16" t="inlineStr">
        <is>
          <t>Persistence</t>
        </is>
      </c>
      <c r="B227" s="16" t="inlineStr">
        <is>
          <t>T1053</t>
        </is>
      </c>
      <c r="C227" s="16" t="inlineStr">
        <is>
          <t>Scheduled Task/Job</t>
        </is>
      </c>
      <c r="D227" s="16" t="inlineStr">
        <is>
          <t>T1053.002</t>
        </is>
      </c>
      <c r="E227" s="16" t="inlineStr">
        <is>
          <t>At</t>
        </is>
      </c>
      <c r="F227" s="16" t="inlineStr">
        <is>
          <t>Partial</t>
        </is>
      </c>
      <c r="G227" s="16" t="inlineStr">
        <is>
          <t>Shared reliance on automated operations: large-scale DID systems automate VC expiry renewal, key rotation, DID Document updates, and similar tasks with cron or systemd timers; manipulating these scheduling systems affects the entire DID ecosystem.
Blockchain event-driven execution: automated tasks run after DID-related smart contract events are detected on Ethereum, Polygon, and similar chains (e.g., DID registration event → automatic VC issuance; key change event → update of related services).
DID service deployment automation uses scheduling tools such as Jenkins and GitHub Actions; pipeline manipulation can deploy malicious DID components.
DID Resolvers, VC Registries, and similar components periodically index blockchain data; scheduling manipulation can cause incorrect DID Documents or revoked VCs to be indexed as valid.
Although only a single system is manipulated, the effect propagates across the entire connected DID network; in particular, manipulating Trust Anchor or Root DID management systems can undermine trust across the ecosystem.</t>
        </is>
      </c>
      <c r="H227" s="16" t="inlineStr">
        <is>
          <t>1. Time-based automatic execution: tasks run automatically at specific times or intervals.
2. Minimal user involvement: tasks run in the background without direct execution by the user.
3. System integration: uses the legitimate scheduling mechanisms of the OS and thus avoids suspicion.
4. Persistence: maintains continuous system access through periodic execution.
5. Privilege use: inherits the scheduler's privileges and can run with elevated privileges.</t>
        </is>
      </c>
      <c r="I227" s="16" t="inlineStr">
        <is>
          <t>Scheduling scope: conventionally OS-level system tasks; in DID, application-level tasks (VC renewal, key rotation).
Execution environment: conventionally system services (cron, Task Scheduler); in DID, web workers (Web Workers, Service Workers).
Malware trigger: conventionally time-based (crontab); in DID, event-based (VC expiry, blockchain events). (crontab is the Linux time-schedule expression.)
Monitoring: conventionally system logs (syslog, Event Viewer); in DID, transaction logs.</t>
        </is>
      </c>
      <c r="J227" s="16" t="inlineStr">
        <is>
          <t>1. DID task scheduling monitoring: detect abnormal patterns in VC renewal and key rotation tasks.
2. Scheduler access control: restrict privileges for DID-related scheduled tasks.
3. Task integrity verification: verify digital signatures of scheduled DID tasks.
4. Anomaly detection: monitor DID tasks executed at unexpected times.</t>
        </is>
      </c>
      <c r="K227" s="16" t="n"/>
      <c r="L227" s="16" t="inlineStr">
        <is>
          <t>https://attack.mitre.org/techniques/T1053</t>
        </is>
      </c>
    </row>
    <row r="228" ht="202.95" customHeight="1" s="7">
      <c r="A228" s="16" t="inlineStr">
        <is>
          <t>Persistence</t>
        </is>
      </c>
      <c r="B228" s="16" t="inlineStr">
        <is>
          <t>T1053</t>
        </is>
      </c>
      <c r="C228" s="16" t="inlineStr">
        <is>
          <t>Scheduled Task/Job</t>
        </is>
      </c>
      <c r="D228" s="16" t="inlineStr">
        <is>
          <t>T1053.003</t>
        </is>
      </c>
      <c r="E228" s="16" t="inlineStr">
        <is>
          <t>Cron</t>
        </is>
      </c>
      <c r="F228" s="16" t="inlineStr">
        <is>
          <t>Partial</t>
        </is>
      </c>
      <c r="G228" s="16" t="inlineStr">
        <is>
          <t>Shared reliance on automated operations: large-scale DID systems automate VC expiry renewal, key rotation, DID Document updates, and similar tasks with cron or systemd timers; manipulating these scheduling systems affects the entire DID ecosystem.
Blockchain event-driven execution: automated tasks run after DID-related smart contract events are detected on Ethereum, Polygon, and similar chains (e.g., DID registration event → automatic VC issuance; key change event → update of related services).
DID service deployment automation uses scheduling tools such as Jenkins and GitHub Actions; pipeline manipulation can deploy malicious DID components.
DID Resolvers, VC Registries, and similar components periodically index blockchain data; scheduling manipulation can cause incorrect DID Documents or revoked VCs to be indexed as valid.
Although only a single system is manipulated, the effect propagates across the entire connected DID network; in particular, manipulating Trust Anchor or Root DID management systems can undermine trust across the ecosystem.</t>
        </is>
      </c>
      <c r="H228" s="16" t="inlineStr">
        <is>
          <t>1. Time-based automatic execution: tasks run automatically at specific times or intervals.
2. Minimal user involvement: tasks run in the background without direct execution by the user.
3. System integration: uses the legitimate scheduling mechanisms of the OS and thus avoids suspicion.
4. Persistence: maintains continuous system access through periodic execution.
5. Privilege use: inherits the scheduler's privileges and can run with elevated privileges.</t>
        </is>
      </c>
      <c r="I228" s="16" t="inlineStr">
        <is>
          <t>Scheduling scope: conventionally OS-level system tasks; in DID, application-level tasks (VC renewal, key rotation).
Execution environment: conventionally system services (cron, Task Scheduler); in DID, web workers (Web Workers, Service Workers).
Malware trigger: conventionally time-based (crontab); in DID, event-based (VC expiry, blockchain events). (crontab is the Linux time-schedule expression.)
Monitoring: conventionally system logs (syslog, Event Viewer); in DID, transaction logs.</t>
        </is>
      </c>
      <c r="J228" s="16" t="inlineStr">
        <is>
          <t>1. DID task scheduling monitoring: detect abnormal patterns in VC renewal and key rotation tasks.
2. Scheduler access control: restrict privileges for DID-related scheduled tasks.
3. Task integrity verification: verify digital signatures of scheduled DID tasks.
4. Anomaly detection: monitor DID tasks executed at unexpected times.</t>
        </is>
      </c>
      <c r="K228" s="16" t="n"/>
      <c r="L228" s="16" t="inlineStr">
        <is>
          <t>https://attack.mitre.org/techniques/T1053</t>
        </is>
      </c>
    </row>
    <row r="229" ht="202.95" customHeight="1" s="7">
      <c r="A229" s="16" t="inlineStr">
        <is>
          <t>Persistence</t>
        </is>
      </c>
      <c r="B229" s="16" t="inlineStr">
        <is>
          <t>T1053</t>
        </is>
      </c>
      <c r="C229" s="16" t="inlineStr">
        <is>
          <t>Scheduled Task/Job</t>
        </is>
      </c>
      <c r="D229" s="16" t="inlineStr">
        <is>
          <t>T1053.005</t>
        </is>
      </c>
      <c r="E229" s="16" t="inlineStr">
        <is>
          <t>Scheduled Task</t>
        </is>
      </c>
      <c r="F229" s="16" t="inlineStr">
        <is>
          <t>Partial</t>
        </is>
      </c>
      <c r="G229" s="16" t="inlineStr">
        <is>
          <t>Shared reliance on automated operations: large-scale DID systems automate VC expiry renewal, key rotation, DID Document updates, and similar tasks with cron or systemd timers; manipulating these scheduling systems affects the entire DID ecosystem.
Blockchain event-driven execution: automated tasks run after DID-related smart contract events are detected on Ethereum, Polygon, and similar chains (e.g., DID registration event → automatic VC issuance; key change event → update of related services).
DID service deployment automation uses scheduling tools such as Jenkins and GitHub Actions; pipeline manipulation can deploy malicious DID components.
DID Resolvers, VC Registries, and similar components periodically index blockchain data; scheduling manipulation can cause incorrect DID Documents or revoked VCs to be indexed as valid.
Although only a single system is manipulated, the effect propagates across the entire connected DID network; in particular, manipulating Trust Anchor or Root DID management systems can undermine trust across the ecosystem.</t>
        </is>
      </c>
      <c r="H229" s="16" t="inlineStr">
        <is>
          <t>1. Time-based automatic execution: tasks run automatically at specific times or intervals.
2. Minimal user involvement: tasks run in the background without direct execution by the user.
3. System integration: uses the legitimate scheduling mechanisms of the OS and thus avoids suspicion.
4. Persistence: maintains continuous system access through periodic execution.
5. Privilege use: inherits the scheduler's privileges and can run with elevated privileges.</t>
        </is>
      </c>
      <c r="I229" s="16" t="inlineStr">
        <is>
          <t>Scheduling scope: conventionally OS-level system tasks; in DID, application-level tasks (VC renewal, key rotation).
Execution environment: conventionally system services (cron, Task Scheduler); in DID, web workers (Web Workers, Service Workers).
Malware trigger: conventionally time-based (crontab); in DID, event-based (VC expiry, blockchain events). (crontab is the Linux time-schedule expression.)
Monitoring: conventionally system logs (syslog, Event Viewer); in DID, transaction logs.</t>
        </is>
      </c>
      <c r="J229" s="16" t="inlineStr">
        <is>
          <t>1. DID task scheduling monitoring: detect abnormal patterns in VC renewal and key rotation tasks.
2. Scheduler access control: restrict privileges for DID-related scheduled tasks.
3. Task integrity verification: verify digital signatures of scheduled DID tasks.
4. Anomaly detection: monitor DID tasks executed at unexpected times.</t>
        </is>
      </c>
      <c r="K229" s="16" t="n"/>
      <c r="L229" s="16" t="inlineStr">
        <is>
          <t>https://attack.mitre.org/techniques/T1053</t>
        </is>
      </c>
    </row>
    <row r="230" ht="202.95" customHeight="1" s="7">
      <c r="A230" s="16" t="inlineStr">
        <is>
          <t>Persistence</t>
        </is>
      </c>
      <c r="B230" s="16" t="inlineStr">
        <is>
          <t>T1053</t>
        </is>
      </c>
      <c r="C230" s="16" t="inlineStr">
        <is>
          <t>Scheduled Task/Job</t>
        </is>
      </c>
      <c r="D230" s="16" t="inlineStr">
        <is>
          <t>T1053.006</t>
        </is>
      </c>
      <c r="E230" s="16" t="inlineStr">
        <is>
          <t>Systemd Timers</t>
        </is>
      </c>
      <c r="F230" s="16" t="inlineStr">
        <is>
          <t>Partial</t>
        </is>
      </c>
      <c r="G230" s="16" t="inlineStr">
        <is>
          <t>Shared reliance on automated operations: large-scale DID systems automate VC expiry renewal, key rotation, DID Document updates, and similar tasks with cron or systemd timers; manipulating these scheduling systems affects the entire DID ecosystem.
Blockchain event-driven execution: automated tasks run after DID-related smart contract events are detected on Ethereum, Polygon, and similar chains (e.g., DID registration event → automatic VC issuance; key change event → update of related services).
DID service deployment automation uses scheduling tools such as Jenkins and GitHub Actions; pipeline manipulation can deploy malicious DID components.
DID Resolvers, VC Registries, and similar components periodically index blockchain data; scheduling manipulation can cause incorrect DID Documents or revoked VCs to be indexed as valid.
Although only a single system is manipulated, the effect propagates across the entire connected DID network; in particular, manipulating Trust Anchor or Root DID management systems can undermine trust across the ecosystem.</t>
        </is>
      </c>
      <c r="H230" s="16" t="inlineStr">
        <is>
          <t>1. Time-based automatic execution: tasks run automatically at specific times or intervals.
2. Minimal user involvement: tasks run in the background without direct execution by the user.
3. System integration: uses the legitimate scheduling mechanisms of the OS and thus avoids suspicion.
4. Persistence: maintains continuous system access through periodic execution.
5. Privilege use: inherits the scheduler's privileges and can run with elevated privileges.</t>
        </is>
      </c>
      <c r="I230" s="16" t="inlineStr">
        <is>
          <t>Scheduling scope: conventionally OS-level system tasks; in DID, application-level tasks (VC renewal, key rotation).
Execution environment: conventionally system services (cron, Task Scheduler); in DID, web workers (Web Workers, Service Workers).
Malware trigger: conventionally time-based (crontab); in DID, event-based (VC expiry, blockchain events). (crontab is the Linux time-schedule expression.)
Monitoring: conventionally system logs (syslog, Event Viewer); in DID, transaction logs.</t>
        </is>
      </c>
      <c r="J230" s="16" t="inlineStr">
        <is>
          <t>1. DID task scheduling monitoring: detect abnormal patterns in VC renewal and key rotation tasks.
2. Scheduler access control: restrict privileges for DID-related scheduled tasks.
3. Task integrity verification: verify digital signatures of scheduled DID tasks.
4. Anomaly detection: monitor DID tasks executed at unexpected times.</t>
        </is>
      </c>
      <c r="K230" s="16" t="n"/>
      <c r="L230" s="16" t="inlineStr">
        <is>
          <t>https://attack.mitre.org/techniques/T1053</t>
        </is>
      </c>
    </row>
    <row r="231" ht="202.95" customHeight="1" s="7">
      <c r="A231" s="16" t="inlineStr">
        <is>
          <t>Persistence</t>
        </is>
      </c>
      <c r="B231" s="16" t="inlineStr">
        <is>
          <t>T1053</t>
        </is>
      </c>
      <c r="C231" s="16" t="inlineStr">
        <is>
          <t>Scheduled Task/Job</t>
        </is>
      </c>
      <c r="D231" s="16" t="inlineStr">
        <is>
          <t>T1053.007</t>
        </is>
      </c>
      <c r="E231" s="16" t="inlineStr">
        <is>
          <t>Container Orchestration Job</t>
        </is>
      </c>
      <c r="F231" s="16" t="inlineStr">
        <is>
          <t>Partial</t>
        </is>
      </c>
      <c r="G231" s="16" t="inlineStr">
        <is>
          <t>Shared reliance on automated operations: large-scale DID systems automate VC expiry renewal, key rotation, DID Document updates, and similar tasks with cron or systemd timers; manipulating these scheduling systems affects the entire DID ecosystem.
Blockchain event-driven execution: automated tasks run after DID-related smart contract events are detected on Ethereum, Polygon, and similar chains (e.g., DID registration event → automatic VC issuance; key change event → update of related services).
DID service deployment automation uses scheduling tools such as Jenkins and GitHub Actions; pipeline manipulation can deploy malicious DID components.
DID Resolvers, VC Registries, and similar components periodically index blockchain data; scheduling manipulation can cause incorrect DID Documents or revoked VCs to be indexed as valid.
Although only a single system is manipulated, the effect propagates across the entire connected DID network; in particular, manipulating Trust Anchor or Root DID management systems can undermine trust across the ecosystem.</t>
        </is>
      </c>
      <c r="H231" s="16" t="inlineStr">
        <is>
          <t>1. Time-based automatic execution: tasks run automatically at specific times or intervals.
2. Minimal user involvement: tasks run in the background without direct execution by the user.
3. System integration: uses the legitimate scheduling mechanisms of the OS and thus avoids suspicion.
4. Persistence: maintains continuous system access through periodic execution.
5. Privilege use: inherits the scheduler's privileges and can run with elevated privileges.</t>
        </is>
      </c>
      <c r="I231" s="16" t="inlineStr">
        <is>
          <t>Scheduling scope: conventionally OS-level system tasks; in DID, application-level tasks (VC renewal, key rotation).
Execution environment: conventionally system services (cron, Task Scheduler); in DID, web workers (Web Workers, Service Workers).
Malware trigger: conventionally time-based (crontab); in DID, event-based (VC expiry, blockchain events). (crontab is the Linux time-schedule expression.)
Monitoring: conventionally system logs (syslog, Event Viewer); in DID, transaction logs.</t>
        </is>
      </c>
      <c r="J231" s="16" t="inlineStr">
        <is>
          <t>1. DID task scheduling monitoring: detect abnormal patterns in VC renewal and key rotation tasks.
2. Scheduler access control: restrict privileges for DID-related scheduled tasks.
3. Task integrity verification: verify digital signatures of scheduled DID tasks.
4. Anomaly detection: monitor DID tasks executed at unexpected times.</t>
        </is>
      </c>
      <c r="K231" s="16" t="n"/>
      <c r="L231" s="16" t="inlineStr">
        <is>
          <t>https://attack.mitre.org/techniques/T1053</t>
        </is>
      </c>
    </row>
    <row r="232" ht="180.55" customHeight="1" s="7">
      <c r="A232" s="16" t="inlineStr">
        <is>
          <t>Persistence</t>
        </is>
      </c>
      <c r="B232" s="16" t="inlineStr">
        <is>
          <t>T1505</t>
        </is>
      </c>
      <c r="C232" s="16" t="inlineStr">
        <is>
          <t>Server Software Component</t>
        </is>
      </c>
      <c r="D232" s="16" t="inlineStr">
        <is>
          <t>T1505.004</t>
        </is>
      </c>
      <c r="E232" s="16" t="inlineStr">
        <is>
          <t>IIS Components</t>
        </is>
      </c>
      <c r="F232" s="16" t="inlineStr">
        <is>
          <t>Full</t>
        </is>
      </c>
      <c r="G232" s="16" t="inlineStr">
        <is>
          <t>In DID authentication systems, VC issuers, status verification APIs, DID Agent servers, and similar components are built as server applications in Node.js, Python, Go, etc., and often use extension modules or custom plugins. In serverless architectures as well, event handlers, Lambda functions, API Gateway plugins, and similar components can be injected externally, so an attacker can install a malicious server component to maintain a persistent backdoor or hook the authentication flow.
[Structural relevance]
VC issuer / status verification server: High (uses external dependency modules via npm, pip, Go plugins)
DID Agent container: High (malicious configuration can be inserted into entrypoint or init scripts)
CredentialStatus API: Medium (manipulation through custom middleware in Express.js, etc.)
Serverless functions (Lambda, etc.): Medium (abuse of external zip deployments or webhook plugins)</t>
        </is>
      </c>
      <c r="H232" s="16" t="inlineStr">
        <is>
          <t>1. Both systems support module-based extension architectures for server applications, and these architectures are often exploitation points.
2. Parts of the authentication or verification flow can be dynamically inserted as plugins/modules.
3. Component-based backdoors persist even when the system is rebooted or redeployed.</t>
        </is>
      </c>
      <c r="I232" s="16" t="inlineStr">
        <is>
          <t>DID system</t>
        </is>
      </c>
      <c r="J232" s="16" t="inlineStr">
        <is>
          <t>1. Deployment of server components such as VC issuers and status verifiers must include static code signing or hash-based integrity verification.
2. All external dependencies must be pinned with lock files (pip freeze, package-lock.json, etc.), and hash verification before execution is mandatory.
3. Apply static analysis and digital signatures to entrypoints, init scripts, Lambda handlers, and other code that runs automatically on server restart.
4. Log-based behavior monitoring (EventBridge, CloudWatch, etc.) is needed when components are installed or updated.</t>
        </is>
      </c>
      <c r="K232" s="16" t="inlineStr">
        <is>
          <t>v17 name: IIS Components</t>
        </is>
      </c>
      <c r="L232" s="16" t="inlineStr">
        <is>
          <t>https://attack.mitre.org/techniques/T1505</t>
        </is>
      </c>
    </row>
    <row r="233" ht="180.55" customHeight="1" s="7">
      <c r="A233" s="16" t="inlineStr">
        <is>
          <t>Persistence</t>
        </is>
      </c>
      <c r="B233" s="16" t="inlineStr">
        <is>
          <t>T1505</t>
        </is>
      </c>
      <c r="C233" s="16" t="inlineStr">
        <is>
          <t>Server Software Component</t>
        </is>
      </c>
      <c r="D233" s="16" t="inlineStr">
        <is>
          <t>T1505.002</t>
        </is>
      </c>
      <c r="E233" s="16" t="inlineStr">
        <is>
          <t>Transport Agent</t>
        </is>
      </c>
      <c r="F233" s="16" t="inlineStr">
        <is>
          <t>Full</t>
        </is>
      </c>
      <c r="G233" s="16" t="inlineStr">
        <is>
          <t>In DID authentication systems, VC issuers, status verification APIs, DID Agent servers, and similar components are built as server applications in Node.js, Python, Go, etc., and often use extension modules or custom plugins. In serverless architectures as well, event handlers, Lambda functions, API Gateway plugins, and similar components can be injected externally, so an attacker can install a malicious server component to maintain a persistent backdoor or hook the authentication flow.
[Structural relevance]
VC issuer / status verification server: High (uses external dependency modules via npm, pip, Go plugins)
DID Agent container: High (malicious configuration can be inserted into entrypoint or init scripts)
CredentialStatus API: Medium (manipulation through custom middleware in Express.js, etc.)
Serverless functions (Lambda, etc.): Medium (abuse of external zip deployments or webhook plugins)</t>
        </is>
      </c>
      <c r="H233" s="16" t="inlineStr">
        <is>
          <t>1. Both systems support module-based extension architectures for server applications, and these architectures are often exploitation points.
2. Parts of the authentication or verification flow can be dynamically inserted as plugins/modules.
3. Component-based backdoors persist even when the system is rebooted or redeployed.</t>
        </is>
      </c>
      <c r="I233" s="16" t="inlineStr">
        <is>
          <t>Express.js servers, Flask apps, Lambda handlers, Docker init scripts</t>
        </is>
      </c>
      <c r="J233" s="16" t="inlineStr">
        <is>
          <t>1. Deployment of server components such as VC issuers and status verifiers must include static code signing or hash-based integrity verification.
2. All external dependencies must be pinned with lock files (pip freeze, package-lock.json, etc.), and hash verification before execution is mandatory.
3. Apply static analysis and digital signatures to entrypoints, init scripts, Lambda handlers, and other code that runs automatically on server restart.
4. Log-based behavior monitoring (EventBridge, CloudWatch, etc.) is needed when components are installed or updated.</t>
        </is>
      </c>
      <c r="K233" s="16" t="n"/>
      <c r="L233" s="16" t="inlineStr">
        <is>
          <t>https://attack.mitre.org/techniques/T1505</t>
        </is>
      </c>
    </row>
    <row r="234" ht="180.55" customHeight="1" s="7">
      <c r="A234" s="16" t="inlineStr">
        <is>
          <t>Persistence</t>
        </is>
      </c>
      <c r="B234" s="16" t="inlineStr">
        <is>
          <t>T1505</t>
        </is>
      </c>
      <c r="C234" s="16" t="inlineStr">
        <is>
          <t>Server Software Component</t>
        </is>
      </c>
      <c r="D234" s="16" t="inlineStr">
        <is>
          <t>T1505.003</t>
        </is>
      </c>
      <c r="E234" s="16" t="inlineStr">
        <is>
          <t>Web Shell</t>
        </is>
      </c>
      <c r="F234" s="16" t="inlineStr">
        <is>
          <t>Full</t>
        </is>
      </c>
      <c r="G234" s="16" t="inlineStr">
        <is>
          <t>In DID authentication systems, VC issuers, status verification APIs, DID Agent servers, and similar components are built as server applications in Node.js, Python, Go, etc., and often use extension modules or custom plugins. In serverless architectures as well, event handlers, Lambda functions, API Gateway plugins, and similar components can be injected externally, so an attacker can install a malicious server component to maintain a persistent backdoor or hook the authentication flow.
[Structural relevance]
VC issuer / status verification server: High (uses external dependency modules via npm, pip, Go plugins)
DID Agent container: High (malicious configuration can be inserted into entrypoint or init scripts)
CredentialStatus API: Medium (manipulation through custom middleware in Express.js, etc.)
Serverless functions (Lambda, etc.): Medium (abuse of external zip deployments or webhook plugins)</t>
        </is>
      </c>
      <c r="H234" s="16" t="inlineStr">
        <is>
          <t>1. Both systems support module-based extension architectures for server applications, and these architectures are often exploitation points.
2. Parts of the authentication or verification flow can be dynamically inserted as plugins/modules.
3. Component-based backdoors persist even when the system is rebooted or redeployed.</t>
        </is>
      </c>
      <c r="I234" s="16" t="inlineStr">
        <is>
          <t>External npm/pip modules; entrypoints containing a reverse shell</t>
        </is>
      </c>
      <c r="J234" s="16" t="inlineStr">
        <is>
          <t>1. Deployment of server components such as VC issuers and status verifiers must include static code signing or hash-based integrity verification.
2. All external dependencies must be pinned with lock files (pip freeze, package-lock.json, etc.), and hash verification before execution is mandatory.
3. Apply static analysis and digital signatures to entrypoints, init scripts, Lambda handlers, and other code that runs automatically on server restart.
4. Log-based behavior monitoring (EventBridge, CloudWatch, etc.) is needed when components are installed or updated.</t>
        </is>
      </c>
      <c r="K234" s="16" t="n"/>
      <c r="L234" s="16" t="inlineStr">
        <is>
          <t>https://attack.mitre.org/techniques/T1505</t>
        </is>
      </c>
    </row>
    <row r="235" ht="180.55" customHeight="1" s="7">
      <c r="A235" s="16" t="inlineStr">
        <is>
          <t>Persistence</t>
        </is>
      </c>
      <c r="B235" s="16" t="inlineStr">
        <is>
          <t>T1505</t>
        </is>
      </c>
      <c r="C235" s="16" t="inlineStr">
        <is>
          <t>Server Software Component</t>
        </is>
      </c>
      <c r="D235" s="16" t="inlineStr">
        <is>
          <t>T1505.001</t>
        </is>
      </c>
      <c r="E235" s="16" t="inlineStr">
        <is>
          <t>SQL Stored Procedures</t>
        </is>
      </c>
      <c r="F235" s="16" t="inlineStr">
        <is>
          <t>Full</t>
        </is>
      </c>
      <c r="G235" s="16" t="inlineStr">
        <is>
          <t>In DID authentication systems, VC issuers, status verification APIs, DID Agent servers, and similar components are built as server applications in Node.js, Python, Go, etc., and often use extension modules or custom plugins. In serverless architectures as well, event handlers, Lambda functions, API Gateway plugins, and similar components can be injected externally, so an attacker can install a malicious server component to maintain a persistent backdoor or hook the authentication flow.
[Structural relevance]
VC issuer / status verification server: High (uses external dependency modules via npm, pip, Go plugins)
DID Agent container: High (malicious configuration can be inserted into entrypoint or init scripts)
CredentialStatus API: Medium (manipulation through custom middleware in Express.js, etc.)
Serverless functions (Lambda, etc.): Medium (abuse of external zip deployments or webhook plugins)</t>
        </is>
      </c>
      <c r="H235" s="16" t="inlineStr">
        <is>
          <t>1. Both systems support module-based extension architectures for server applications, and these architectures are often exploitation points.
2. Parts of the authentication or verification flow can be dynamically inserted as plugins/modules.
3. Component-based backdoors persist even when the system is rebooted or redeployed.</t>
        </is>
      </c>
      <c r="I235" s="16" t="inlineStr">
        <is>
          <t>External npm/pip modules; entrypoints containing a reverse shell</t>
        </is>
      </c>
      <c r="J235" s="16" t="inlineStr">
        <is>
          <t>1. Deployment of server components such as VC issuers and status verifiers must include static code signing or hash-based integrity verification.
2. All external dependencies must be pinned with lock files (pip freeze, package-lock.json, etc.), and hash verification before execution is mandatory.
3. Apply static analysis and digital signatures to entrypoints, init scripts, Lambda handlers, and other code that runs automatically on server restart.
4. Log-based behavior monitoring (EventBridge, CloudWatch, etc.) is needed when components are installed or updated.</t>
        </is>
      </c>
      <c r="K235" s="16" t="n"/>
      <c r="L235" s="16" t="inlineStr">
        <is>
          <t>https://attack.mitre.org/techniques/T1505</t>
        </is>
      </c>
    </row>
    <row r="236" ht="180.55" customHeight="1" s="7">
      <c r="A236" s="16" t="inlineStr">
        <is>
          <t>Persistence</t>
        </is>
      </c>
      <c r="B236" s="16" t="inlineStr">
        <is>
          <t>T1505</t>
        </is>
      </c>
      <c r="C236" s="16" t="inlineStr">
        <is>
          <t>Server Software Component</t>
        </is>
      </c>
      <c r="D236" s="16" t="inlineStr">
        <is>
          <t>T1505.005</t>
        </is>
      </c>
      <c r="E236" s="16" t="inlineStr">
        <is>
          <t>Terminal Services DLL</t>
        </is>
      </c>
      <c r="F236" s="16" t="inlineStr">
        <is>
          <t>Full</t>
        </is>
      </c>
      <c r="G236" s="16" t="inlineStr">
        <is>
          <t>In DID authentication systems, VC issuers, status verification APIs, DID Agent servers, and similar components are built as server applications in Node.js, Python, Go, etc., and often use extension modules or custom plugins. In serverless architectures as well, event handlers, Lambda functions, API Gateway plugins, and similar components can be injected externally, so an attacker can install a malicious server component to maintain a persistent backdoor or hook the authentication flow.
[Structural relevance]
VC issuer / status verification server: High (uses external dependency modules via npm, pip, Go plugins)
DID Agent container: High (malicious configuration can be inserted into entrypoint or init scripts)
CredentialStatus API: Medium (manipulation through custom middleware in Express.js, etc.)
Serverless functions (Lambda, etc.): Medium (abuse of external zip deployments or webhook plugins)</t>
        </is>
      </c>
      <c r="H236" s="16" t="inlineStr">
        <is>
          <t>1. Both systems support module-based extension architectures for server applications, and these architectures are often exploitation points.
2. Parts of the authentication or verification flow can be dynamically inserted as plugins/modules.
3. Component-based backdoors persist even when the system is rebooted or redeployed.</t>
        </is>
      </c>
      <c r="I236" s="16" t="inlineStr">
        <is>
          <t>Zip module hashes; code integrity verification within the authentication flow</t>
        </is>
      </c>
      <c r="J236" s="16" t="inlineStr">
        <is>
          <t>1. Deployment of server components such as VC issuers and status verifiers must include static code signing or hash-based integrity verification.
2. All external dependencies must be pinned with lock files (pip freeze, package-lock.json, etc.), and hash verification before execution is mandatory.
3. Apply static analysis and digital signatures to entrypoints, init scripts, Lambda handlers, and other code that runs automatically on server restart.
4. Log-based behavior monitoring (EventBridge, CloudWatch, etc.) is needed when components are installed or updated.</t>
        </is>
      </c>
      <c r="K236" s="16" t="n"/>
      <c r="L236" s="16" t="inlineStr">
        <is>
          <t>https://attack.mitre.org/techniques/T1505</t>
        </is>
      </c>
    </row>
    <row r="237" ht="180.55" customHeight="1" s="7">
      <c r="A237" s="16" t="inlineStr">
        <is>
          <t>Persistence</t>
        </is>
      </c>
      <c r="B237" s="16" t="inlineStr">
        <is>
          <t>T1505</t>
        </is>
      </c>
      <c r="C237" s="16" t="inlineStr">
        <is>
          <t>Server Software Component</t>
        </is>
      </c>
      <c r="D237" s="16" t="n"/>
      <c r="E237" s="16" t="inlineStr">
        <is>
          <t>Containerized API</t>
        </is>
      </c>
      <c r="F237" s="16" t="inlineStr">
        <is>
          <t>Full</t>
        </is>
      </c>
      <c r="G237" s="16" t="inlineStr">
        <is>
          <t>In DID authentication systems, VC issuers, status verification APIs, DID Agent servers, and similar components are built as server applications in Node.js, Python, Go, etc., and often use extension modules or custom plugins. In serverless architectures as well, event handlers, Lambda functions, API Gateway plugins, and similar components can be injected externally, so an attacker can install a malicious server component to maintain a persistent backdoor or hook the authentication flow.
[Structural relevance]
VC issuer / status verification server: High (uses external dependency modules via npm, pip, Go plugins)
DID Agent container: High (malicious configuration can be inserted into entrypoint or init scripts)
CredentialStatus API: Medium (manipulation through custom middleware in Express.js, etc.)
Serverless functions (Lambda, etc.): Medium (abuse of external zip deployments or webhook plugins)</t>
        </is>
      </c>
      <c r="H237" s="16" t="inlineStr">
        <is>
          <t>1. Both systems support module-based extension architectures for server applications, and these architectures are often exploitation points.
2. Parts of the authentication or verification flow can be dynamically inserted as plugins/modules.
3. Component-based backdoors persist even when the system is rebooted or redeployed.</t>
        </is>
      </c>
      <c r="I237" s="16" t="inlineStr">
        <is>
          <t>Zip module hashes; code integrity verification within the authentication flow</t>
        </is>
      </c>
      <c r="J237" s="16" t="inlineStr">
        <is>
          <t>1. Deployment of server components such as VC issuers and status verifiers must include static code signing or hash-based integrity verification.
2. All external dependencies must be pinned with lock files (pip freeze, package-lock.json, etc.), and hash verification before execution is mandatory.
3. Apply static analysis and digital signatures to entrypoints, init scripts, Lambda handlers, and other code that runs automatically on server restart.
4. Log-based behavior monitoring (EventBridge, CloudWatch, etc.) is needed when components are installed or updated.</t>
        </is>
      </c>
      <c r="K237" s="16" t="inlineStr">
        <is>
          <t>"Containerized API" is not a v17 sub-technique of T1505; kept as analyzed</t>
        </is>
      </c>
      <c r="L237" s="16" t="inlineStr">
        <is>
          <t>https://attack.mitre.org/techniques/T1505</t>
        </is>
      </c>
    </row>
    <row r="238" ht="169.4" customHeight="1" s="7">
      <c r="A238" s="16" t="inlineStr">
        <is>
          <t>Persistence</t>
        </is>
      </c>
      <c r="B238" s="16" t="inlineStr">
        <is>
          <t>T1176</t>
        </is>
      </c>
      <c r="C238" s="16" t="inlineStr">
        <is>
          <t>Software Extensions</t>
        </is>
      </c>
      <c r="D238" s="16" t="inlineStr">
        <is>
          <t>T1176.001</t>
        </is>
      </c>
      <c r="E238" s="16" t="inlineStr">
        <is>
          <t>Browser Extensions</t>
        </is>
      </c>
      <c r="F238" s="16" t="inlineStr">
        <is>
          <t>Partial</t>
        </is>
      </c>
      <c r="G238" s="16" t="inlineStr">
        <is>
          <t>DID authentication systems include client-side DID Wallets (including browser-based extensions), and in this environment malicious extensions can hijack VC access rights or manipulate authentication requests. However, server-side components (DID Agent, Verifier, VC issuer, etc.) generally use external APIs and container environments rather than extension modules, so their direct relevance is low.
[Structural relevance]
Browser-based DID Wallet: High (operates as or integrates with an extension)
Mobile DID Wallet app: Medium (some apps allow integration of external SDKs/plugins)
Verifier web front end: Medium (can interact with JS-based browser extensions)
DID Agent Server / VC issuer: Low (API-centric rather than extension-module architecture; not a direct target)</t>
        </is>
      </c>
      <c r="H238" s="16" t="inlineStr">
        <is>
          <t>1. Extensions mostly inherit the user's privileges, so malicious code can access VCs, key values, and authentication tokens.
2. In browser-based environments, extension modules can freely make network requests, manipulate the DOM, and access local storage.
3. Because distribution relies on trust in official marketplaces, malicious extension modules can be installed easily.</t>
        </is>
      </c>
      <c r="I238" s="16" t="inlineStr">
        <is>
          <t>DID system</t>
        </is>
      </c>
      <c r="J238" s="16" t="inlineStr">
        <is>
          <t>1. Browser-based DID Wallets should move from an extension architecture to a standalone app architecture, or strictly enforce a trusted-origin-only policy internally.
2. VC access APIs within the wallet should be managed in an isolated area (e.g., Secure Context, WebAssembly sandbox) that extensions cannot access.
3. In browser extension environments, use a digital-signature-based approval protocol for user authentication requests to prevent man-in-the-middle attacks by extensions.
4. Marketplace distribution needs a policy based on publishing static analysis and code review results.</t>
        </is>
      </c>
      <c r="K238" s="16" t="n"/>
      <c r="L238" s="16" t="inlineStr">
        <is>
          <t>https://attack.mitre.org/techniques/T1176</t>
        </is>
      </c>
    </row>
    <row r="239" ht="169.4" customHeight="1" s="7">
      <c r="A239" s="16" t="inlineStr">
        <is>
          <t>Persistence</t>
        </is>
      </c>
      <c r="B239" s="16" t="inlineStr">
        <is>
          <t>T1176</t>
        </is>
      </c>
      <c r="C239" s="16" t="inlineStr">
        <is>
          <t>Software Extensions</t>
        </is>
      </c>
      <c r="D239" s="16" t="inlineStr">
        <is>
          <t>T1176.002</t>
        </is>
      </c>
      <c r="E239" s="16" t="inlineStr">
        <is>
          <t>IDE Extensions</t>
        </is>
      </c>
      <c r="F239" s="16" t="inlineStr">
        <is>
          <t>Partial</t>
        </is>
      </c>
      <c r="G239" s="16" t="inlineStr">
        <is>
          <t>DID authentication systems include client-side DID Wallets (including browser-based extensions), and in this environment malicious extensions can hijack VC access rights or manipulate authentication requests. However, server-side components (DID Agent, Verifier, VC issuer, etc.) generally use external APIs and container environments rather than extension modules, so their direct relevance is low.
[Structural relevance]
Browser-based DID Wallet: High (operates as or integrates with an extension)
Mobile DID Wallet app: Medium (some apps allow integration of external SDKs/plugins)
Verifier web front end: Medium (can interact with JS-based browser extensions)
DID Agent Server / VC issuer: Low (API-centric rather than extension-module architecture; not a direct target)</t>
        </is>
      </c>
      <c r="H239" s="16" t="inlineStr">
        <is>
          <t>1. Extensions mostly inherit the user's privileges, so malicious code can access VCs, key values, and authentication tokens.
2. In browser-based environments, extension modules can freely make network requests, manipulate the DOM, and access local storage.
3. Because distribution relies on trust in official marketplaces, malicious extension modules can be installed easily.</t>
        </is>
      </c>
      <c r="I239" s="16" t="inlineStr">
        <is>
          <t>Chrome extensions, wallet-integrated browser apps, etc.</t>
        </is>
      </c>
      <c r="J239" s="16" t="inlineStr">
        <is>
          <t>1. Browser-based DID Wallets should move from an extension architecture to a standalone app architecture, or strictly enforce a trusted-origin-only policy internally.
2. VC access APIs within the wallet should be managed in an isolated area (e.g., Secure Context, WebAssembly sandbox) that extensions cannot access.
3. In browser extension environments, use a digital-signature-based approval protocol for user authentication requests to prevent man-in-the-middle attacks by extensions.
4. Marketplace distribution needs a policy based on publishing static analysis and code review results.</t>
        </is>
      </c>
      <c r="K239" s="16" t="n"/>
      <c r="L239" s="16" t="inlineStr">
        <is>
          <t>https://attack.mitre.org/techniques/T1176</t>
        </is>
      </c>
    </row>
    <row r="240" ht="191.75" customHeight="1" s="7">
      <c r="A240" s="16" t="inlineStr">
        <is>
          <t>Persistence</t>
        </is>
      </c>
      <c r="B240" s="16" t="inlineStr">
        <is>
          <t>T1205</t>
        </is>
      </c>
      <c r="C240" s="16" t="inlineStr">
        <is>
          <t>Traffic Signaling</t>
        </is>
      </c>
      <c r="D240" s="16" t="inlineStr">
        <is>
          <t>T1205.001</t>
        </is>
      </c>
      <c r="E240" s="16" t="inlineStr">
        <is>
          <t>Port Knocking</t>
        </is>
      </c>
      <c r="F240" s="16" t="inlineStr">
        <is>
          <t>Partial</t>
        </is>
      </c>
      <c r="G240" s="16" t="inlineStr">
        <is>
          <t>DID authentication systems do not inherently use backdoor structures based on network signals to hide or open ports externally. However, when cloud-based containers (DID Agent, VC issuer, CredentialStatus API, etc.) use serverless functions or WebSocket-based real-time processing, an attacker may trigger functions or attempt indirect access through abnormal traffic patterns. In addition, misconfigurations or inadequate network policies may allow command execution through unauthorized traffic signals.
[Structural relevance]
DID Wallet (client): Low (no concept of direct communication via magic packets)
VC issuer / status verifier: Medium (VC processing logic can be executed by external triggers)
DID Agent (including serverless environments): High (sensitive to unauthorized traffic in WebSocket or event-driven architectures)
API Gateway / reverse proxy: High (triggering through header manipulation or specific sequences is possible)</t>
        </is>
      </c>
      <c r="H240" s="16" t="inlineStr">
        <is>
          <t>1. Some DID components adopt event-based or condition-based function execution architectures.
2. If the network layer is configured to respond to unauthorized signals (e.g., specific URIs or User-Agent values), an attacker can gain indirect access.
3. If a status verification API is configured to respond only under specific conditions, those conditions may be abused to execute commands.</t>
        </is>
      </c>
      <c r="I240" s="16" t="inlineStr">
        <is>
          <t>DID system</t>
        </is>
      </c>
      <c r="J240" s="16" t="inlineStr">
        <is>
          <t>1. Serverless functions and event-based components should filter input signal patterns against a predefined whitelist.
2. CredentialStatus APIs, Verifiers, and similar components should be designed so that no logic executes based on external input conditions such as User-Agent, IP, or query parameters.
3. In WebSocket- or EventBridge-based architectures, insert integrity verification logic for unauthorized message flows.
4. Network flow monitoring tools should be configured to detect and block traffic-based indirect trigger attempts.</t>
        </is>
      </c>
      <c r="K240" s="16" t="n"/>
      <c r="L240" s="16" t="inlineStr">
        <is>
          <t>https://attack.mitre.org/techniques/T1205</t>
        </is>
      </c>
    </row>
    <row r="241" ht="191.75" customHeight="1" s="7">
      <c r="A241" s="16" t="inlineStr">
        <is>
          <t>Persistence</t>
        </is>
      </c>
      <c r="B241" s="16" t="inlineStr">
        <is>
          <t>T1205</t>
        </is>
      </c>
      <c r="C241" s="16" t="inlineStr">
        <is>
          <t>Traffic Signaling</t>
        </is>
      </c>
      <c r="D241" s="16" t="n"/>
      <c r="E241" s="16" t="inlineStr">
        <is>
          <t>Magic Packets</t>
        </is>
      </c>
      <c r="F241" s="16" t="inlineStr">
        <is>
          <t>Partial</t>
        </is>
      </c>
      <c r="G241" s="16" t="inlineStr">
        <is>
          <t>DID authentication systems do not inherently use backdoor structures based on network signals to hide or open ports externally. However, when cloud-based containers (DID Agent, VC issuer, CredentialStatus API, etc.) use serverless functions or WebSocket-based real-time processing, an attacker may trigger functions or attempt indirect access through abnormal traffic patterns. In addition, misconfigurations or inadequate network policies may allow command execution through unauthorized traffic signals.
[Structural relevance]
DID Wallet (client): Low (no concept of direct communication via magic packets)
VC issuer / status verifier: Medium (VC processing logic can be executed by external triggers)
DID Agent (including serverless environments): High (sensitive to unauthorized traffic in WebSocket or event-driven architectures)
API Gateway / reverse proxy: High (triggering through header manipulation or specific sequences is possible)</t>
        </is>
      </c>
      <c r="H241" s="16" t="inlineStr">
        <is>
          <t>1. Some DID components adopt event-based or condition-based function execution architectures.
2. If the network layer is configured to respond to unauthorized signals (e.g., specific URIs or User-Agent values), an attacker can gain indirect access.
3. If a status verification API is configured to respond only under specific conditions, those conditions may be abused to execute commands.</t>
        </is>
      </c>
      <c r="I241" s="16" t="inlineStr">
        <is>
          <t>Execution of VC forgery; execution of status manipulation logic</t>
        </is>
      </c>
      <c r="J241" s="16" t="inlineStr">
        <is>
          <t>1. Serverless functions and event-based components should filter input signal patterns against a predefined whitelist.
2. CredentialStatus APIs, Verifiers, and similar components should be designed so that no logic executes based on external input conditions such as User-Agent, IP, or query parameters.
3. In WebSocket- or EventBridge-based architectures, insert integrity verification logic for unauthorized message flows.
4. Network flow monitoring tools should be configured to detect and block traffic-based indirect trigger attempts.</t>
        </is>
      </c>
      <c r="K241" s="16" t="inlineStr">
        <is>
          <t>"Magic Packets" is not a v17 sub-technique of T1205; kept as analyzed</t>
        </is>
      </c>
      <c r="L241" s="16" t="inlineStr">
        <is>
          <t>https://attack.mitre.org/techniques/T1205</t>
        </is>
      </c>
    </row>
    <row r="242" ht="180.55" customHeight="1" s="7">
      <c r="A242" s="16" t="inlineStr">
        <is>
          <t>Persistence</t>
        </is>
      </c>
      <c r="B242" s="16" t="inlineStr">
        <is>
          <t>T1078</t>
        </is>
      </c>
      <c r="C242" s="16" t="inlineStr">
        <is>
          <t>Valid Accounts</t>
        </is>
      </c>
      <c r="D242" s="16" t="inlineStr">
        <is>
          <t>T1078.001</t>
        </is>
      </c>
      <c r="E242" s="16" t="inlineStr">
        <is>
          <t>Default Accounts</t>
        </is>
      </c>
      <c r="F242" s="16" t="inlineStr">
        <is>
          <t>Full</t>
        </is>
      </c>
      <c r="G242" s="16" t="inlineStr">
        <is>
          <t>DID authentication systems also use credential-based access control, and if valid keys, wallets, sessions, or tokens are leaked, an attacker can masquerade as having legitimate access to the system. In particular, wallet-integrated VC issuance/verification systems, Agent servers, and CredentialStatus APIs all perform session- or key-based validity checks, so attacks impersonating a legitimate DID user are hard to detect; this fully matches the essence of T1078.
[Structural relevance]
DID Wallet: High (theft of the DID, VCs, or signing keys allows impersonation of the legitimate user)
Verifier and Agent servers: High (operate on valid tokens; session theft allows authentication bypass)
CredentialStatus API: Medium (authentication bypass is possible if there are no status-query tokens or access restrictions)
Cloud-based auth (e.g., Firebase, OAuth-based): High (OAuth token theft applies in architectures mixing social login and decentralized ID)</t>
        </is>
      </c>
      <c r="H242" s="16" t="inlineStr">
        <is>
          <t>1. If a legitimate user's DID, VC, or session token is stolen, the attacker can access the system without any separate malware.
2. Both token-based and wallet-signature-based authentication can be reused after theft.
3. Some systems do not deactivate accounts of departed employees or long-unused accounts, which can be abused.
4. Authentication bypass and detection evasion are easy (calls are normal API calls and hard to distinguish in logs).</t>
        </is>
      </c>
      <c r="I242" s="16" t="inlineStr">
        <is>
          <t>DID system</t>
        </is>
      </c>
      <c r="J242" s="16" t="inlineStr">
        <is>
          <t>1. Add time- and context-based verification (e.g., Origin, IP, usage environment) of signed requests during wallet integration and VC requests.
2. Strengthen verification of the issuer-requester linkage during VC issuance/verification (e.g., same IP, requests within the same session).
3. Build automatic expiry or notification for long-unused accounts (wallets).
4. Introduce user behavior analytics (BEH) and anomaly detection algorithms to detect session hijacking in DID systems.
5. Insert replay-prevention mechanisms that identify token reuse (e.g., nonce, timestamp, single-use VC).</t>
        </is>
      </c>
      <c r="K242" s="16" t="n"/>
      <c r="L242" s="16" t="inlineStr">
        <is>
          <t>https://attack.mitre.org/techniques/T1078</t>
        </is>
      </c>
    </row>
    <row r="243" ht="180.55" customHeight="1" s="7">
      <c r="A243" s="16" t="inlineStr">
        <is>
          <t>Persistence</t>
        </is>
      </c>
      <c r="B243" s="16" t="inlineStr">
        <is>
          <t>T1078</t>
        </is>
      </c>
      <c r="C243" s="16" t="inlineStr">
        <is>
          <t>Valid Accounts</t>
        </is>
      </c>
      <c r="D243" s="16" t="inlineStr">
        <is>
          <t>T1078.002</t>
        </is>
      </c>
      <c r="E243" s="16" t="inlineStr">
        <is>
          <t>Domain Accounts</t>
        </is>
      </c>
      <c r="F243" s="16" t="inlineStr">
        <is>
          <t>Full</t>
        </is>
      </c>
      <c r="G243" s="16" t="inlineStr">
        <is>
          <t>DID authentication systems also use credential-based access control, and if valid keys, wallets, sessions, or tokens are leaked, an attacker can masquerade as having legitimate access to the system. In particular, wallet-integrated VC issuance/verification systems, Agent servers, and CredentialStatus APIs all perform session- or key-based validity checks, so attacks impersonating a legitimate DID user are hard to detect; this fully matches the essence of T1078.
[Structural relevance]
DID Wallet: High (theft of the DID, VCs, or signing keys allows impersonation of the legitimate user)
Verifier and Agent servers: High (operate on valid tokens; session theft allows authentication bypass)
CredentialStatus API: Medium (authentication bypass is possible if there are no status-query tokens or access restrictions)
Cloud-based auth (e.g., Firebase, OAuth-based): High (OAuth token theft applies in architectures mixing social login and decentralized ID)</t>
        </is>
      </c>
      <c r="H243" s="16" t="inlineStr">
        <is>
          <t>1. If a legitimate user's DID, VC, or session token is stolen, the attacker can access the system without any separate malware.
2. Both token-based and wallet-signature-based authentication can be reused after theft.
3. Some systems do not deactivate accounts of departed employees or long-unused accounts, which can be abused.
4. Authentication bypass and detection evasion are easy (calls are normal API calls and hard to distinguish in logs).</t>
        </is>
      </c>
      <c r="I243" s="16" t="inlineStr">
        <is>
          <t>DIDs, VCs, DID tokens, sessions, wallet keys, etc.</t>
        </is>
      </c>
      <c r="J243" s="16" t="inlineStr">
        <is>
          <t>1. Add time- and context-based verification (e.g., Origin, IP, usage environment) of signed requests during wallet integration and VC requests.
2. Strengthen verification of the issuer-requester linkage during VC issuance/verification (e.g., same IP, requests within the same session).
3. Build automatic expiry or notification for long-unused accounts (wallets).
4. Introduce user behavior analytics (BEH) and anomaly detection algorithms to detect session hijacking in DID systems.
5. Insert replay-prevention mechanisms that identify token reuse (e.g., nonce, timestamp, single-use VC).</t>
        </is>
      </c>
      <c r="K243" s="16" t="n"/>
      <c r="L243" s="16" t="inlineStr">
        <is>
          <t>https://attack.mitre.org/techniques/T1078</t>
        </is>
      </c>
    </row>
    <row r="244" ht="180.55" customHeight="1" s="7">
      <c r="A244" s="16" t="inlineStr">
        <is>
          <t>Persistence</t>
        </is>
      </c>
      <c r="B244" s="16" t="inlineStr">
        <is>
          <t>T1078</t>
        </is>
      </c>
      <c r="C244" s="16" t="inlineStr">
        <is>
          <t>Valid Accounts</t>
        </is>
      </c>
      <c r="D244" s="16" t="inlineStr">
        <is>
          <t>T1078.003</t>
        </is>
      </c>
      <c r="E244" s="16" t="inlineStr">
        <is>
          <t>Local Accounts</t>
        </is>
      </c>
      <c r="F244" s="16" t="inlineStr">
        <is>
          <t>Full</t>
        </is>
      </c>
      <c r="G244" s="16" t="inlineStr">
        <is>
          <t>DID authentication systems also use credential-based access control, and if valid keys, wallets, sessions, or tokens are leaked, an attacker can masquerade as having legitimate access to the system. In particular, wallet-integrated VC issuance/verification systems, Agent servers, and CredentialStatus APIs all perform session- or key-based validity checks, so attacks impersonating a legitimate DID user are hard to detect; this fully matches the essence of T1078.
[Structural relevance]
DID Wallet: High (theft of the DID, VCs, or signing keys allows impersonation of the legitimate user)
Verifier and Agent servers: High (operate on valid tokens; session theft allows authentication bypass)
CredentialStatus API: Medium (authentication bypass is possible if there are no status-query tokens or access restrictions)
Cloud-based auth (e.g., Firebase, OAuth-based): High (OAuth token theft applies in architectures mixing social login and decentralized ID)</t>
        </is>
      </c>
      <c r="H244" s="16" t="inlineStr">
        <is>
          <t>1. If a legitimate user's DID, VC, or session token is stolen, the attacker can access the system without any separate malware.
2. Both token-based and wallet-signature-based authentication can be reused after theft.
3. Some systems do not deactivate accounts of departed employees or long-unused accounts, which can be abused.
4. Authentication bypass and detection evasion are easy (calls are normal API calls and hard to distinguish in logs).</t>
        </is>
      </c>
      <c r="I244" s="16" t="inlineStr">
        <is>
          <t>DID Wallet, authentication server DB, browser local storage</t>
        </is>
      </c>
      <c r="J244" s="16" t="inlineStr">
        <is>
          <t>1. Add time- and context-based verification (e.g., Origin, IP, usage environment) of signed requests during wallet integration and VC requests.
2. Strengthen verification of the issuer-requester linkage during VC issuance/verification (e.g., same IP, requests within the same session).
3. Build automatic expiry or notification for long-unused accounts (wallets).
4. Introduce user behavior analytics (BEH) and anomaly detection algorithms to detect session hijacking in DID systems.
5. Insert replay-prevention mechanisms that identify token reuse (e.g., nonce, timestamp, single-use VC).</t>
        </is>
      </c>
      <c r="K244" s="16" t="n"/>
      <c r="L244" s="16" t="inlineStr">
        <is>
          <t>https://attack.mitre.org/techniques/T1078</t>
        </is>
      </c>
    </row>
    <row r="245" ht="180.55" customHeight="1" s="7">
      <c r="A245" s="16" t="inlineStr">
        <is>
          <t>Persistence</t>
        </is>
      </c>
      <c r="B245" s="16" t="inlineStr">
        <is>
          <t>T1078</t>
        </is>
      </c>
      <c r="C245" s="16" t="inlineStr">
        <is>
          <t>Valid Accounts</t>
        </is>
      </c>
      <c r="D245" s="16" t="inlineStr">
        <is>
          <t>T1078.004</t>
        </is>
      </c>
      <c r="E245" s="16" t="inlineStr">
        <is>
          <t>Cloud Accounts</t>
        </is>
      </c>
      <c r="F245" s="16" t="inlineStr">
        <is>
          <t>Full</t>
        </is>
      </c>
      <c r="G245" s="16" t="inlineStr">
        <is>
          <t>DID authentication systems also use credential-based access control, and if valid keys, wallets, sessions, or tokens are leaked, an attacker can masquerade as having legitimate access to the system. In particular, wallet-integrated VC issuance/verification systems, Agent servers, and CredentialStatus APIs all perform session- or key-based validity checks, so attacks impersonating a legitimate DID user are hard to detect; this fully matches the essence of T1078.
[Structural relevance]
DID Wallet: High (theft of the DID, VCs, or signing keys allows impersonation of the legitimate user)
Verifier and Agent servers: High (operate on valid tokens; session theft allows authentication bypass)
CredentialStatus API: Medium (authentication bypass is possible if there are no status-query tokens or access restrictions)
Cloud-based auth (e.g., Firebase, OAuth-based): High (OAuth token theft applies in architectures mixing social login and decentralized ID)</t>
        </is>
      </c>
      <c r="H245" s="16" t="inlineStr">
        <is>
          <t>1. If a legitimate user's DID, VC, or session token is stolen, the attacker can access the system without any separate malware.
2. Both token-based and wallet-signature-based authentication can be reused after theft.
3. Some systems do not deactivate accounts of departed employees or long-unused accounts, which can be abused.
4. Authentication bypass and detection evasion are easy (calls are normal API calls and hard to distinguish in logs).</t>
        </is>
      </c>
      <c r="I245" s="16" t="inlineStr">
        <is>
          <t>Token/session reuse; analysis of signed request logs is required</t>
        </is>
      </c>
      <c r="J245" s="16" t="inlineStr">
        <is>
          <t>1. Add time- and context-based verification (e.g., Origin, IP, usage environment) of signed requests during wallet integration and VC requests.
2. Strengthen verification of the issuer-requester linkage during VC issuance/verification (e.g., same IP, requests within the same session).
3. Build automatic expiry or notification for long-unused accounts (wallets).
4. Introduce user behavior analytics (BEH) and anomaly detection algorithms to detect session hijacking in DID systems.
5. Insert replay-prevention mechanisms that identify token reuse (e.g., nonce, timestamp, single-use VC).</t>
        </is>
      </c>
      <c r="K245" s="16" t="n"/>
      <c r="L245" s="16" t="inlineStr">
        <is>
          <t>https://attack.mitre.org/techniques/T1078</t>
        </is>
      </c>
    </row>
    <row r="246" ht="147" customHeight="1" s="7">
      <c r="A246" s="16" t="inlineStr">
        <is>
          <t>Privilege Escalation</t>
        </is>
      </c>
      <c r="B246" s="16" t="inlineStr">
        <is>
          <t>T1548</t>
        </is>
      </c>
      <c r="C246" s="16" t="inlineStr">
        <is>
          <t>Abuse Elevation Control Mechanism</t>
        </is>
      </c>
      <c r="D246" s="16" t="inlineStr">
        <is>
          <t>T1548.001</t>
        </is>
      </c>
      <c r="E246" s="16" t="inlineStr">
        <is>
          <t>Setuid and Setgid</t>
        </is>
      </c>
      <c r="F246" s="16" t="inlineStr">
        <is>
          <t>Full</t>
        </is>
      </c>
      <c r="G246" s="16" t="inlineStr">
        <is>
          <t>DID authentication systems use cloud-based role control (Cloud IAM) and privilege management within servers/containers, so they are judged to be structurally highly relevant. In particular, if an account with access to a VC issuer or verifier misuses a Cloud IAM role or abuses the sudo cache, the entire authentication system can be exposed to the threat.
[Structural relevance]
DID Wallet (web/mobile app): Low (runs with ordinary user privileges and does not require privilege escalation)
VC issuer / verifier (server): Very high (sudo, setuid, and cloud IAM assume-role can be used)
Cloud API gateway: High (privilege escalation via authentication tokens (AssumeRole) is possible)</t>
        </is>
      </c>
      <c r="H246" s="16" t="inlineStr">
        <is>
          <t>1. Operational privileges of authentication systems are often configured through sudo, Cloud IAM roles, etc.
2. Through role escalation, an attacker can obtain VC issuance privileges.
3. Some authentication flows include CLI-based configuration (deploy, admin operations, etc.), and these privileges can be misused.</t>
        </is>
      </c>
      <c r="I246" s="16" t="inlineStr">
        <is>
          <t>DID system</t>
        </is>
      </c>
      <c r="J246" s="16" t="inlineStr">
        <is>
          <t>1. Apply the principle of least privilege to IAM roles for VC issuers/verifiers and log assume-role usage.
2. Require a password every time sudo is used (timestamp_timeout = 0).
3. Store records of Cloud IAM role changes/delegations in a centralized audit system.
4. Track logs for the /etc/sudoers file and security_authtrampoline (macOS).
5. In container deployment environments, set policies disallowing setuid and setcap (e.g., Docker --cap-drop).</t>
        </is>
      </c>
      <c r="K246" s="16" t="n"/>
      <c r="L246" s="16" t="inlineStr">
        <is>
          <t>https://attack.mitre.org/techniques/T1548</t>
        </is>
      </c>
    </row>
    <row r="247" ht="147" customHeight="1" s="7">
      <c r="A247" s="16" t="inlineStr">
        <is>
          <t>Privilege Escalation</t>
        </is>
      </c>
      <c r="B247" s="16" t="inlineStr">
        <is>
          <t>T1548</t>
        </is>
      </c>
      <c r="C247" s="16" t="inlineStr">
        <is>
          <t>Abuse Elevation Control Mechanism</t>
        </is>
      </c>
      <c r="D247" s="16" t="inlineStr">
        <is>
          <t>T1548.002</t>
        </is>
      </c>
      <c r="E247" s="16" t="inlineStr">
        <is>
          <t>Bypass User Account Control</t>
        </is>
      </c>
      <c r="F247" s="16" t="inlineStr">
        <is>
          <t>Full</t>
        </is>
      </c>
      <c r="G247" s="16" t="inlineStr">
        <is>
          <t>DID authentication systems use cloud-based role control (Cloud IAM) and privilege management within servers/containers, so they are judged to be structurally highly relevant. In particular, if an account with access to a VC issuer or verifier misuses a Cloud IAM role or abuses the sudo cache, the entire authentication system can be exposed to the threat.
[Structural relevance]
DID Wallet (web/mobile app): Low (runs with ordinary user privileges and does not require privilege escalation)
VC issuer / verifier (server): Very high (sudo, setuid, and cloud IAM assume-role can be used)
Cloud API gateway: High (privilege escalation via authentication tokens (AssumeRole) is possible)</t>
        </is>
      </c>
      <c r="H247" s="16" t="inlineStr">
        <is>
          <t>1. Operational privileges of authentication systems are often configured through sudo, Cloud IAM roles, etc.
2. Through role escalation, an attacker can obtain VC issuance privileges.
3. Some authentication flows include CLI-based configuration (deploy, admin operations, etc.), and these privileges can be misused.</t>
        </is>
      </c>
      <c r="I247" s="16" t="inlineStr">
        <is>
          <t>Mostly automated authentication servers and managed environments</t>
        </is>
      </c>
      <c r="J247" s="16" t="inlineStr">
        <is>
          <t>1. Apply the principle of least privilege to IAM roles for VC issuers/verifiers and log assume-role usage.
2. Require a password every time sudo is used (timestamp_timeout = 0).
3. Store records of Cloud IAM role changes/delegations in a centralized audit system.
4. Track logs for the /etc/sudoers file and security_authtrampoline (macOS).
5. In container deployment environments, set policies disallowing setuid and setcap (e.g., Docker --cap-drop).</t>
        </is>
      </c>
      <c r="K247" s="16" t="n"/>
      <c r="L247" s="16" t="inlineStr">
        <is>
          <t>https://attack.mitre.org/techniques/T1548</t>
        </is>
      </c>
    </row>
    <row r="248" ht="147" customHeight="1" s="7">
      <c r="A248" s="16" t="inlineStr">
        <is>
          <t>Privilege Escalation</t>
        </is>
      </c>
      <c r="B248" s="16" t="inlineStr">
        <is>
          <t>T1548</t>
        </is>
      </c>
      <c r="C248" s="16" t="inlineStr">
        <is>
          <t>Abuse Elevation Control Mechanism</t>
        </is>
      </c>
      <c r="D248" s="16" t="inlineStr">
        <is>
          <t>T1548.003</t>
        </is>
      </c>
      <c r="E248" s="16" t="inlineStr">
        <is>
          <t>Sudo and Sudo Caching</t>
        </is>
      </c>
      <c r="F248" s="16" t="inlineStr">
        <is>
          <t>Full</t>
        </is>
      </c>
      <c r="G248" s="16" t="inlineStr">
        <is>
          <t>DID authentication systems use cloud-based role control (Cloud IAM) and privilege management within servers/containers, so they are judged to be structurally highly relevant. In particular, if an account with access to a VC issuer or verifier misuses a Cloud IAM role or abuses the sudo cache, the entire authentication system can be exposed to the threat.
[Structural relevance]
DID Wallet (web/mobile app): Low (runs with ordinary user privileges and does not require privilege escalation)
VC issuer / verifier (server): Very high (sudo, setuid, and cloud IAM assume-role can be used)
Cloud API gateway: High (privilege escalation via authentication tokens (AssumeRole) is possible)</t>
        </is>
      </c>
      <c r="H248" s="16" t="inlineStr">
        <is>
          <t>1. Operational privileges of authentication systems are often configured through sudo, Cloud IAM roles, etc.
2. Through role escalation, an attacker can obtain VC issuance privileges.
3. Some authentication flows include CLI-based configuration (deploy, admin operations, etc.), and these privileges can be misused.</t>
        </is>
      </c>
      <c r="I248" s="16" t="inlineStr">
        <is>
          <t>Authentication servers run automatically, with no direct input</t>
        </is>
      </c>
      <c r="J248" s="16" t="inlineStr">
        <is>
          <t>1. Apply the principle of least privilege to IAM roles for VC issuers/verifiers and log assume-role usage.
2. Require a password every time sudo is used (timestamp_timeout = 0).
3. Store records of Cloud IAM role changes/delegations in a centralized audit system.
4. Track logs for the /etc/sudoers file and security_authtrampoline (macOS).
5. In container deployment environments, set policies disallowing setuid and setcap (e.g., Docker --cap-drop).</t>
        </is>
      </c>
      <c r="K248" s="16" t="n"/>
      <c r="L248" s="16" t="inlineStr">
        <is>
          <t>https://attack.mitre.org/techniques/T1548</t>
        </is>
      </c>
    </row>
    <row r="249" ht="147" customHeight="1" s="7">
      <c r="A249" s="16" t="inlineStr">
        <is>
          <t>Privilege Escalation</t>
        </is>
      </c>
      <c r="B249" s="16" t="inlineStr">
        <is>
          <t>T1548</t>
        </is>
      </c>
      <c r="C249" s="16" t="inlineStr">
        <is>
          <t>Abuse Elevation Control Mechanism</t>
        </is>
      </c>
      <c r="D249" s="16" t="inlineStr">
        <is>
          <t>T1548.004</t>
        </is>
      </c>
      <c r="E249" s="16" t="inlineStr">
        <is>
          <t>Elevated Execution with Prompt</t>
        </is>
      </c>
      <c r="F249" s="16" t="inlineStr">
        <is>
          <t>Full</t>
        </is>
      </c>
      <c r="G249" s="16" t="inlineStr">
        <is>
          <t>DID authentication systems use cloud-based role control (Cloud IAM) and privilege management within servers/containers, so they are judged to be structurally highly relevant. In particular, if an account with access to a VC issuer or verifier misuses a Cloud IAM role or abuses the sudo cache, the entire authentication system can be exposed to the threat.
[Structural relevance]
DID Wallet (web/mobile app): Low (runs with ordinary user privileges and does not require privilege escalation)
VC issuer / verifier (server): Very high (sudo, setuid, and cloud IAM assume-role can be used)
Cloud API gateway: High (privilege escalation via authentication tokens (AssumeRole) is possible)</t>
        </is>
      </c>
      <c r="H249" s="16" t="inlineStr">
        <is>
          <t>1. Operational privileges of authentication systems are often configured through sudo, Cloud IAM roles, etc.
2. Through role escalation, an attacker can obtain VC issuance privileges.
3. Some authentication flows include CLI-based configuration (deploy, admin operations, etc.), and these privileges can be misused.</t>
        </is>
      </c>
      <c r="I249" s="16" t="inlineStr">
        <is>
          <t>Deployment or API privileges of the authentication system's operator</t>
        </is>
      </c>
      <c r="J249" s="16" t="inlineStr">
        <is>
          <t>1. Apply the principle of least privilege to IAM roles for VC issuers/verifiers and log assume-role usage.
2. Require a password every time sudo is used (timestamp_timeout = 0).
3. Store records of Cloud IAM role changes/delegations in a centralized audit system.
4. Track logs for the /etc/sudoers file and security_authtrampoline (macOS).
5. In container deployment environments, set policies disallowing setuid and setcap (e.g., Docker --cap-drop).</t>
        </is>
      </c>
      <c r="K249" s="16" t="n"/>
      <c r="L249" s="16" t="inlineStr">
        <is>
          <t>https://attack.mitre.org/techniques/T1548</t>
        </is>
      </c>
    </row>
    <row r="250" ht="147" customHeight="1" s="7">
      <c r="A250" s="16" t="inlineStr">
        <is>
          <t>Privilege Escalation</t>
        </is>
      </c>
      <c r="B250" s="16" t="inlineStr">
        <is>
          <t>T1548</t>
        </is>
      </c>
      <c r="C250" s="16" t="inlineStr">
        <is>
          <t>Abuse Elevation Control Mechanism</t>
        </is>
      </c>
      <c r="D250" s="16" t="inlineStr">
        <is>
          <t>T1548.005</t>
        </is>
      </c>
      <c r="E250" s="16" t="inlineStr">
        <is>
          <t>Temporary Elevated Cloud Access</t>
        </is>
      </c>
      <c r="F250" s="16" t="inlineStr">
        <is>
          <t>Full</t>
        </is>
      </c>
      <c r="G250" s="16" t="inlineStr">
        <is>
          <t>DID authentication systems use cloud-based role control (Cloud IAM) and privilege management within servers/containers, so they are judged to be structurally highly relevant. In particular, if an account with access to a VC issuer or verifier misuses a Cloud IAM role or abuses the sudo cache, the entire authentication system can be exposed to the threat.
[Structural relevance]
DID Wallet (web/mobile app): Low (runs with ordinary user privileges and does not require privilege escalation)
VC issuer / verifier (server): Very high (sudo, setuid, and cloud IAM assume-role can be used)
Cloud API gateway: High (privilege escalation via authentication tokens (AssumeRole) is possible)</t>
        </is>
      </c>
      <c r="H250" s="16" t="inlineStr">
        <is>
          <t>1. Operational privileges of authentication systems are often configured through sudo, Cloud IAM roles, etc.
2. Through role escalation, an attacker can obtain VC issuance privileges.
3. Some authentication flows include CLI-based configuration (deploy, admin operations, etc.), and these privileges can be misused.</t>
        </is>
      </c>
      <c r="I250" s="16" t="inlineStr">
        <is>
          <t>Focused on the handover of VC issuance/verification privileges within the authentication flow</t>
        </is>
      </c>
      <c r="J250" s="16" t="inlineStr">
        <is>
          <t>1. Apply the principle of least privilege to IAM roles for VC issuers/verifiers and log assume-role usage.
2. Require a password every time sudo is used (timestamp_timeout = 0).
3. Store records of Cloud IAM role changes/delegations in a centralized audit system.
4. Track logs for the /etc/sudoers file and security_authtrampoline (macOS).
5. In container deployment environments, set policies disallowing setuid and setcap (e.g., Docker --cap-drop).</t>
        </is>
      </c>
      <c r="K250" s="16" t="n"/>
      <c r="L250" s="16" t="inlineStr">
        <is>
          <t>https://attack.mitre.org/techniques/T1548</t>
        </is>
      </c>
    </row>
    <row r="251" ht="147" customHeight="1" s="7">
      <c r="A251" s="16" t="inlineStr">
        <is>
          <t>Privilege Escalation</t>
        </is>
      </c>
      <c r="B251" s="16" t="inlineStr">
        <is>
          <t>T1548</t>
        </is>
      </c>
      <c r="C251" s="16" t="inlineStr">
        <is>
          <t>Abuse Elevation Control Mechanism</t>
        </is>
      </c>
      <c r="D251" s="16" t="inlineStr">
        <is>
          <t>T1548.006</t>
        </is>
      </c>
      <c r="E251" s="16" t="inlineStr">
        <is>
          <t>TCC Manipulation</t>
        </is>
      </c>
      <c r="F251" s="16" t="inlineStr">
        <is>
          <t>Full</t>
        </is>
      </c>
      <c r="G251" s="16" t="inlineStr">
        <is>
          <t>DID authentication systems use cloud-based role control (Cloud IAM) and privilege management within servers/containers, so they are judged to be structurally highly relevant. In particular, if an account with access to a VC issuer or verifier misuses a Cloud IAM role or abuses the sudo cache, the entire authentication system can be exposed to the threat.
[Structural relevance]
DID Wallet (web/mobile app): Low (runs with ordinary user privileges and does not require privilege escalation)
VC issuer / verifier (server): Very high (sudo, setuid, and cloud IAM assume-role can be used)
Cloud API gateway: High (privilege escalation via authentication tokens (AssumeRole) is possible)</t>
        </is>
      </c>
      <c r="H251" s="16" t="inlineStr">
        <is>
          <t>1. Operational privileges of authentication systems are often configured through sudo, Cloud IAM roles, etc.
2. Through role escalation, an attacker can obtain VC issuance privileges.
3. Some authentication flows include CLI-based configuration (deploy, admin operations, etc.), and these privileges can be misused.</t>
        </is>
      </c>
      <c r="I251" s="16" t="inlineStr">
        <is>
          <t>Focused on the handover of VC issuance/verification privileges within the authentication flow</t>
        </is>
      </c>
      <c r="J251" s="16" t="inlineStr">
        <is>
          <t>1. Apply the principle of least privilege to IAM roles for VC issuers/verifiers and log assume-role usage.
2. Require a password every time sudo is used (timestamp_timeout = 0).
3. Store records of Cloud IAM role changes/delegations in a centralized audit system.
4. Track logs for the /etc/sudoers file and security_authtrampoline (macOS).
5. In container deployment environments, set policies disallowing setuid and setcap (e.g., Docker --cap-drop).</t>
        </is>
      </c>
      <c r="K251" s="16" t="n"/>
      <c r="L251" s="16" t="inlineStr">
        <is>
          <t>https://attack.mitre.org/techniques/T1548</t>
        </is>
      </c>
    </row>
    <row r="252" ht="79.84999999999999" customHeight="1" s="7">
      <c r="A252" s="16" t="inlineStr">
        <is>
          <t>Privilege Escalation</t>
        </is>
      </c>
      <c r="B252" s="16" t="inlineStr">
        <is>
          <t>T1134</t>
        </is>
      </c>
      <c r="C252" s="16" t="inlineStr">
        <is>
          <t>Access Token Manipulation</t>
        </is>
      </c>
      <c r="D252" s="16" t="inlineStr">
        <is>
          <t>T1134.001</t>
        </is>
      </c>
      <c r="E252" s="16" t="inlineStr">
        <is>
          <t>Token Impersonation/Theft</t>
        </is>
      </c>
      <c r="F252" s="16" t="inlineStr">
        <is>
          <t>No</t>
        </is>
      </c>
      <c r="G252" s="16" t="inlineStr">
        <is>
          <t>The technique is limited to the Windows OS environment and differs structurally from the web-based microservice environments, Linux container environments, and smart contracts that DID authentication systems mainly use. It may have moderate relevance when a Windows-based authentication management system is operated on premises or a VC issuance client runs as a Windows service, but rules limited to specific environments are excluded.</t>
        </is>
      </c>
      <c r="H252" s="16" t="inlineStr">
        <is>
          <t>-</t>
        </is>
      </c>
      <c r="I252" s="16" t="inlineStr">
        <is>
          <t>DID system</t>
        </is>
      </c>
      <c r="J252" s="16" t="inlineStr">
        <is>
          <t>-</t>
        </is>
      </c>
      <c r="K252" s="16" t="n"/>
      <c r="L252" s="16" t="inlineStr">
        <is>
          <t>https://attack.mitre.org/techniques/T1134</t>
        </is>
      </c>
    </row>
    <row r="253" ht="79.84999999999999" customHeight="1" s="7">
      <c r="A253" s="16" t="inlineStr">
        <is>
          <t>Privilege Escalation</t>
        </is>
      </c>
      <c r="B253" s="16" t="inlineStr">
        <is>
          <t>T1134</t>
        </is>
      </c>
      <c r="C253" s="16" t="inlineStr">
        <is>
          <t>Access Token Manipulation</t>
        </is>
      </c>
      <c r="D253" s="16" t="inlineStr">
        <is>
          <t>T1134.002</t>
        </is>
      </c>
      <c r="E253" s="16" t="inlineStr">
        <is>
          <t>Create Process with Token</t>
        </is>
      </c>
      <c r="F253" s="16" t="inlineStr">
        <is>
          <t>No</t>
        </is>
      </c>
      <c r="G253" s="16" t="inlineStr">
        <is>
          <t>The technique is limited to the Windows OS environment and differs structurally from the web-based microservice environments, Linux container environments, and smart contracts that DID authentication systems mainly use. It may have moderate relevance when a Windows-based authentication management system is operated on premises or a VC issuance client runs as a Windows service, but rules limited to specific environments are excluded.</t>
        </is>
      </c>
      <c r="H253" s="16" t="inlineStr">
        <is>
          <t>-</t>
        </is>
      </c>
      <c r="I253" s="16" t="inlineStr">
        <is>
          <t>Mostly Linux-, web-, and blockchain-based</t>
        </is>
      </c>
      <c r="J253" s="16" t="inlineStr">
        <is>
          <t>-</t>
        </is>
      </c>
      <c r="K253" s="16" t="n"/>
      <c r="L253" s="16" t="inlineStr">
        <is>
          <t>https://attack.mitre.org/techniques/T1134</t>
        </is>
      </c>
    </row>
    <row r="254" ht="79.84999999999999" customHeight="1" s="7">
      <c r="A254" s="16" t="inlineStr">
        <is>
          <t>Privilege Escalation</t>
        </is>
      </c>
      <c r="B254" s="16" t="inlineStr">
        <is>
          <t>T1134</t>
        </is>
      </c>
      <c r="C254" s="16" t="inlineStr">
        <is>
          <t>Access Token Manipulation</t>
        </is>
      </c>
      <c r="D254" s="16" t="inlineStr">
        <is>
          <t>T1134.003</t>
        </is>
      </c>
      <c r="E254" s="16" t="inlineStr">
        <is>
          <t>Make and Impersonate Token</t>
        </is>
      </c>
      <c r="F254" s="16" t="inlineStr">
        <is>
          <t>No</t>
        </is>
      </c>
      <c r="G254" s="16" t="inlineStr">
        <is>
          <t>The technique is limited to the Windows OS environment and differs structurally from the web-based microservice environments, Linux container environments, and smart contracts that DID authentication systems mainly use. It may have moderate relevance when a Windows-based authentication management system is operated on premises or a VC issuance client runs as a Windows service, but rules limited to specific environments are excluded.</t>
        </is>
      </c>
      <c r="H254" s="16" t="inlineStr">
        <is>
          <t>-</t>
        </is>
      </c>
      <c r="I254" s="16" t="inlineStr">
        <is>
          <t>The concept does not exist in Linux</t>
        </is>
      </c>
      <c r="J254" s="16" t="inlineStr">
        <is>
          <t>-</t>
        </is>
      </c>
      <c r="K254" s="16" t="n"/>
      <c r="L254" s="16" t="inlineStr">
        <is>
          <t>https://attack.mitre.org/techniques/T1134</t>
        </is>
      </c>
    </row>
    <row r="255" ht="79.84999999999999" customHeight="1" s="7">
      <c r="A255" s="16" t="inlineStr">
        <is>
          <t>Privilege Escalation</t>
        </is>
      </c>
      <c r="B255" s="16" t="inlineStr">
        <is>
          <t>T1134</t>
        </is>
      </c>
      <c r="C255" s="16" t="inlineStr">
        <is>
          <t>Access Token Manipulation</t>
        </is>
      </c>
      <c r="D255" s="16" t="inlineStr">
        <is>
          <t>T1134.004</t>
        </is>
      </c>
      <c r="E255" s="16" t="inlineStr">
        <is>
          <t>Parent PID Spoofing</t>
        </is>
      </c>
      <c r="F255" s="16" t="inlineStr">
        <is>
          <t>No</t>
        </is>
      </c>
      <c r="G255" s="16" t="inlineStr">
        <is>
          <t>The technique is limited to the Windows OS environment and differs structurally from the web-based microservice environments, Linux container environments, and smart contracts that DID authentication systems mainly use. It may have moderate relevance when a Windows-based authentication management system is operated on premises or a VC issuance client runs as a Windows service, but rules limited to specific environments are excluded.</t>
        </is>
      </c>
      <c r="H255" s="16" t="inlineStr">
        <is>
          <t>-</t>
        </is>
      </c>
      <c r="I255" s="16" t="inlineStr">
        <is>
          <t>Mostly container-based automated services</t>
        </is>
      </c>
      <c r="J255" s="16" t="inlineStr">
        <is>
          <t>-</t>
        </is>
      </c>
      <c r="K255" s="16" t="n"/>
      <c r="L255" s="16" t="inlineStr">
        <is>
          <t>https://attack.mitre.org/techniques/T1134</t>
        </is>
      </c>
    </row>
    <row r="256" ht="79.84999999999999" customHeight="1" s="7">
      <c r="A256" s="16" t="inlineStr">
        <is>
          <t>Privilege Escalation</t>
        </is>
      </c>
      <c r="B256" s="16" t="inlineStr">
        <is>
          <t>T1134</t>
        </is>
      </c>
      <c r="C256" s="16" t="inlineStr">
        <is>
          <t>Access Token Manipulation</t>
        </is>
      </c>
      <c r="D256" s="16" t="inlineStr">
        <is>
          <t>T1134.005</t>
        </is>
      </c>
      <c r="E256" s="16" t="inlineStr">
        <is>
          <t>SID-History Injection</t>
        </is>
      </c>
      <c r="F256" s="16" t="inlineStr">
        <is>
          <t>No</t>
        </is>
      </c>
      <c r="G256" s="16" t="inlineStr">
        <is>
          <t>The technique is limited to the Windows OS environment and differs structurally from the web-based microservice environments, Linux container environments, and smart contracts that DID authentication systems mainly use. It may have moderate relevance when a Windows-based authentication management system is operated on premises or a VC issuance client runs as a Windows service, but rules limited to specific environments are excluded.</t>
        </is>
      </c>
      <c r="H256" s="16" t="inlineStr">
        <is>
          <t>-</t>
        </is>
      </c>
      <c r="I256" s="16" t="inlineStr">
        <is>
          <t>In the DID architecture, attacks mainly target role-based privilege delegation and role misuse</t>
        </is>
      </c>
      <c r="J256" s="16" t="inlineStr">
        <is>
          <t>-</t>
        </is>
      </c>
      <c r="K256" s="16" t="n"/>
      <c r="L256" s="16" t="inlineStr">
        <is>
          <t>https://attack.mitre.org/techniques/T1134</t>
        </is>
      </c>
    </row>
    <row r="257" ht="169.4" customHeight="1" s="7">
      <c r="A257" s="16" t="inlineStr">
        <is>
          <t>Privilege Escalation</t>
        </is>
      </c>
      <c r="B257" s="16" t="inlineStr">
        <is>
          <t>T1098</t>
        </is>
      </c>
      <c r="C257" s="16" t="inlineStr">
        <is>
          <t>Account Manipulation</t>
        </is>
      </c>
      <c r="D257" s="16" t="inlineStr">
        <is>
          <t>T1098.001</t>
        </is>
      </c>
      <c r="E257" s="16" t="inlineStr">
        <is>
          <t>Additional Cloud Credentials</t>
        </is>
      </c>
      <c r="F257" s="16" t="inlineStr">
        <is>
          <t>Full</t>
        </is>
      </c>
      <c r="G257"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57"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57" s="16" t="inlineStr">
        <is>
          <t>DID system</t>
        </is>
      </c>
      <c r="J257"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57" s="16" t="n"/>
      <c r="L257" s="16" t="inlineStr">
        <is>
          <t>https://attack.mitre.org/techniques/T1098</t>
        </is>
      </c>
    </row>
    <row r="258" ht="169.4" customHeight="1" s="7">
      <c r="A258" s="16" t="inlineStr">
        <is>
          <t>Privilege Escalation</t>
        </is>
      </c>
      <c r="B258" s="16" t="inlineStr">
        <is>
          <t>T1098</t>
        </is>
      </c>
      <c r="C258" s="16" t="inlineStr">
        <is>
          <t>Account Manipulation</t>
        </is>
      </c>
      <c r="D258" s="16" t="inlineStr">
        <is>
          <t>T1098.002</t>
        </is>
      </c>
      <c r="E258" s="16" t="inlineStr">
        <is>
          <t>Additional Email Delegate Permissions</t>
        </is>
      </c>
      <c r="F258" s="16" t="inlineStr">
        <is>
          <t>Full</t>
        </is>
      </c>
      <c r="G258"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58"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58" s="16" t="inlineStr">
        <is>
          <t>DID identifiers and DID Documents</t>
        </is>
      </c>
      <c r="J258"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58" s="16" t="n"/>
      <c r="L258" s="16" t="inlineStr">
        <is>
          <t>https://attack.mitre.org/techniques/T1098</t>
        </is>
      </c>
    </row>
    <row r="259" ht="169.4" customHeight="1" s="7">
      <c r="A259" s="16" t="inlineStr">
        <is>
          <t>Privilege Escalation</t>
        </is>
      </c>
      <c r="B259" s="16" t="inlineStr">
        <is>
          <t>T1098</t>
        </is>
      </c>
      <c r="C259" s="16" t="inlineStr">
        <is>
          <t>Account Manipulation</t>
        </is>
      </c>
      <c r="D259" s="16" t="inlineStr">
        <is>
          <t>T1098.003</t>
        </is>
      </c>
      <c r="E259" s="16" t="inlineStr">
        <is>
          <t>Additional Cloud Roles</t>
        </is>
      </c>
      <c r="F259" s="16" t="inlineStr">
        <is>
          <t>Full</t>
        </is>
      </c>
      <c r="G259"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59"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59" s="16" t="inlineStr">
        <is>
          <t>Manipulation of VC issuance privileges/verifier registration</t>
        </is>
      </c>
      <c r="J259"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59" s="16" t="n"/>
      <c r="L259" s="16" t="inlineStr">
        <is>
          <t>https://attack.mitre.org/techniques/T1098</t>
        </is>
      </c>
    </row>
    <row r="260" ht="169.4" customHeight="1" s="7">
      <c r="A260" s="16" t="inlineStr">
        <is>
          <t>Privilege Escalation</t>
        </is>
      </c>
      <c r="B260" s="16" t="inlineStr">
        <is>
          <t>T1098</t>
        </is>
      </c>
      <c r="C260" s="16" t="inlineStr">
        <is>
          <t>Account Manipulation</t>
        </is>
      </c>
      <c r="D260" s="16" t="inlineStr">
        <is>
          <t>T1098.004</t>
        </is>
      </c>
      <c r="E260" s="16" t="inlineStr">
        <is>
          <t>SSH Authorized Keys</t>
        </is>
      </c>
      <c r="F260" s="16" t="inlineStr">
        <is>
          <t>Full</t>
        </is>
      </c>
      <c r="G260"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60"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60" s="16" t="inlineStr">
        <is>
          <t>Smart contracts, DID Registry, off-chain administrator interfaces</t>
        </is>
      </c>
      <c r="J260"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60" s="16" t="n"/>
      <c r="L260" s="16" t="inlineStr">
        <is>
          <t>https://attack.mitre.org/techniques/T1098</t>
        </is>
      </c>
    </row>
    <row r="261" ht="169.4" customHeight="1" s="7">
      <c r="A261" s="16" t="inlineStr">
        <is>
          <t>Privilege Escalation</t>
        </is>
      </c>
      <c r="B261" s="16" t="inlineStr">
        <is>
          <t>T1098</t>
        </is>
      </c>
      <c r="C261" s="16" t="inlineStr">
        <is>
          <t>Account Manipulation</t>
        </is>
      </c>
      <c r="D261" s="16" t="inlineStr">
        <is>
          <t>T1098.005</t>
        </is>
      </c>
      <c r="E261" s="16" t="inlineStr">
        <is>
          <t>Device Registration</t>
        </is>
      </c>
      <c r="F261" s="16" t="inlineStr">
        <is>
          <t>Full</t>
        </is>
      </c>
      <c r="G261"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61"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61" s="16" t="inlineStr">
        <is>
          <t>Smart contracts, DID Registry, off-chain administrator interfaces</t>
        </is>
      </c>
      <c r="J261"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61" s="16" t="n"/>
      <c r="L261" s="16" t="inlineStr">
        <is>
          <t>https://attack.mitre.org/techniques/T1098</t>
        </is>
      </c>
    </row>
    <row r="262" ht="169.4" customHeight="1" s="7">
      <c r="A262" s="16" t="inlineStr">
        <is>
          <t>Privilege Escalation</t>
        </is>
      </c>
      <c r="B262" s="16" t="inlineStr">
        <is>
          <t>T1098</t>
        </is>
      </c>
      <c r="C262" s="16" t="inlineStr">
        <is>
          <t>Account Manipulation</t>
        </is>
      </c>
      <c r="D262" s="16" t="inlineStr">
        <is>
          <t>T1098.006</t>
        </is>
      </c>
      <c r="E262" s="16" t="inlineStr">
        <is>
          <t>Additional Container Cluster Roles</t>
        </is>
      </c>
      <c r="F262" s="16" t="inlineStr">
        <is>
          <t>Full</t>
        </is>
      </c>
      <c r="G262"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62"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62" s="16" t="inlineStr">
        <is>
          <t>Off-chain logs</t>
        </is>
      </c>
      <c r="J262"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62" s="16" t="n"/>
      <c r="L262" s="16" t="inlineStr">
        <is>
          <t>https://attack.mitre.org/techniques/T1098</t>
        </is>
      </c>
    </row>
    <row r="263" ht="169.4" customHeight="1" s="7">
      <c r="A263" s="16" t="inlineStr">
        <is>
          <t>Privilege Escalation</t>
        </is>
      </c>
      <c r="B263" s="16" t="inlineStr">
        <is>
          <t>T1098</t>
        </is>
      </c>
      <c r="C263" s="16" t="inlineStr">
        <is>
          <t>Account Manipulation</t>
        </is>
      </c>
      <c r="D263" s="16" t="inlineStr">
        <is>
          <t>T1098.007</t>
        </is>
      </c>
      <c r="E263" s="16" t="inlineStr">
        <is>
          <t>Additional Local or Domain Groups</t>
        </is>
      </c>
      <c r="F263" s="16" t="inlineStr">
        <is>
          <t>Full</t>
        </is>
      </c>
      <c r="G263" s="16" t="inlineStr">
        <is>
          <t>DID authentication systems operate on trusted identifiers (DIDs), VC issuance privileges, and verifier privileges, which form the basis of accounts and permissions; they are therefore judged highly relevant to privilege-changing actions that bypass DID-based authentication policies or enable abnormal VC issuance or verification.
[Structural relevance]
DID Wallet: Low (mostly self-custodied; not vulnerable to manipulation)
VC issuer: High (abnormal privilege changes can occur on DIDs that hold issuance privileges)
Verifier DID: High (if a malicious DID is registered in the verifier list, verification can be impersonated)
Off-chain admin panel: High (VC granting can be bypassed by manipulating internal accounts)
VC/VP policy server: Medium (policy bypass is possible, but it is not account-centric)</t>
        </is>
      </c>
      <c r="H263" s="16" t="inlineStr">
        <is>
          <t>1. Privilege manipulation of DIDs with VC issuance privileges or administrator DID accounts can neutralize the authentication scheme (once a malicious DID is added to the trusted_issuer list, it grants verification delegation privileges to an authenticator DID and manipulates DID metadata such as registration time and key permissions).</t>
        </is>
      </c>
      <c r="I263" s="16" t="inlineStr">
        <is>
          <t>Off-chain logs</t>
        </is>
      </c>
      <c r="J263" s="16" t="inlineStr">
        <is>
          <t>1. Force change requests to VC issuance and verification DID lists to be recorded as on-chain events.
2. Enable audit logs when the controller or authentication key of a DID Document changes.
3. Restrict VC issuance policies to VC-based role delegation rather than off-chain accounts.
4. Require multi-signature (multi-sig) or VC-based administrator verification for access to off-chain admin panels.
5. On account creation, deletion, or privilege change, apply an inconsistency detection algorithm that compares the DID Registry with VC logs.</t>
        </is>
      </c>
      <c r="K263" s="16" t="n"/>
      <c r="L263" s="16" t="inlineStr">
        <is>
          <t>https://attack.mitre.org/techniques/T1098</t>
        </is>
      </c>
    </row>
    <row r="264" ht="113.4" customHeight="1" s="7">
      <c r="A264" s="16" t="inlineStr">
        <is>
          <t>Privilege Escalation</t>
        </is>
      </c>
      <c r="B264" s="16" t="inlineStr">
        <is>
          <t>T1547</t>
        </is>
      </c>
      <c r="C264" s="16" t="inlineStr">
        <is>
          <t>Boot or Logon Autostart Execution</t>
        </is>
      </c>
      <c r="D264" s="16" t="inlineStr">
        <is>
          <t>T1547.001</t>
        </is>
      </c>
      <c r="E264" s="16" t="inlineStr">
        <is>
          <t>Registry Run Keys / Startup Folder</t>
        </is>
      </c>
      <c r="F264" s="16" t="inlineStr">
        <is>
          <t>Partial</t>
        </is>
      </c>
      <c r="G264"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64" s="16" t="inlineStr">
        <is>
          <t>1. Designated code runs automatically at initial execution.
2. Attack code starts even if the operator does not directly control the execution command.
3. Malicious processes can be autostarted due to insecure images or configuration mistakes.</t>
        </is>
      </c>
      <c r="I264" s="16" t="inlineStr">
        <is>
          <t>DID system</t>
        </is>
      </c>
      <c r="J264"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64" s="16" t="n"/>
      <c r="L264" s="16" t="inlineStr">
        <is>
          <t>https://attack.mitre.org/techniques/T1547</t>
        </is>
      </c>
    </row>
    <row r="265" ht="113.4" customHeight="1" s="7">
      <c r="A265" s="16" t="inlineStr">
        <is>
          <t>Privilege Escalation</t>
        </is>
      </c>
      <c r="B265" s="16" t="inlineStr">
        <is>
          <t>T1547</t>
        </is>
      </c>
      <c r="C265" s="16" t="inlineStr">
        <is>
          <t>Boot or Logon Autostart Execution</t>
        </is>
      </c>
      <c r="D265" s="16" t="inlineStr">
        <is>
          <t>T1547.002</t>
        </is>
      </c>
      <c r="E265" s="16" t="inlineStr">
        <is>
          <t>Authentication Package</t>
        </is>
      </c>
      <c r="F265" s="16" t="inlineStr">
        <is>
          <t>Partial</t>
        </is>
      </c>
      <c r="G265"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65" s="16" t="inlineStr">
        <is>
          <t>1. Designated code runs automatically at initial execution.
2. Attack code starts even if the operator does not directly control the execution command.
3. Malicious processes can be autostarted due to insecure images or configuration mistakes.</t>
        </is>
      </c>
      <c r="I265" s="16" t="inlineStr">
        <is>
          <t>Entrypoint/CMD at container startup</t>
        </is>
      </c>
      <c r="J265"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65" s="16" t="n"/>
      <c r="L265" s="16" t="inlineStr">
        <is>
          <t>https://attack.mitre.org/techniques/T1547</t>
        </is>
      </c>
    </row>
    <row r="266" ht="113.4" customHeight="1" s="7">
      <c r="A266" s="16" t="inlineStr">
        <is>
          <t>Privilege Escalation</t>
        </is>
      </c>
      <c r="B266" s="16" t="inlineStr">
        <is>
          <t>T1547</t>
        </is>
      </c>
      <c r="C266" s="16" t="inlineStr">
        <is>
          <t>Boot or Logon Autostart Execution</t>
        </is>
      </c>
      <c r="D266" s="16" t="inlineStr">
        <is>
          <t>T1547.003</t>
        </is>
      </c>
      <c r="E266" s="16" t="inlineStr">
        <is>
          <t>Time Providers</t>
        </is>
      </c>
      <c r="F266" s="16" t="inlineStr">
        <is>
          <t>Partial</t>
        </is>
      </c>
      <c r="G266"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66" s="16" t="inlineStr">
        <is>
          <t>1. Designated code runs automatically at initial execution.
2. Attack code starts even if the operator does not directly control the execution command.
3. Malicious processes can be autostarted due to insecure images or configuration mistakes.</t>
        </is>
      </c>
      <c r="I266" s="16" t="inlineStr">
        <is>
          <t>Entrypoint/CMD at container startup</t>
        </is>
      </c>
      <c r="J266"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66" s="16" t="n"/>
      <c r="L266" s="16" t="inlineStr">
        <is>
          <t>https://attack.mitre.org/techniques/T1547</t>
        </is>
      </c>
    </row>
    <row r="267" ht="113.4" customHeight="1" s="7">
      <c r="A267" s="16" t="inlineStr">
        <is>
          <t>Privilege Escalation</t>
        </is>
      </c>
      <c r="B267" s="16" t="inlineStr">
        <is>
          <t>T1547</t>
        </is>
      </c>
      <c r="C267" s="16" t="inlineStr">
        <is>
          <t>Boot or Logon Autostart Execution</t>
        </is>
      </c>
      <c r="D267" s="16" t="inlineStr">
        <is>
          <t>T1547.004</t>
        </is>
      </c>
      <c r="E267" s="16" t="inlineStr">
        <is>
          <t>Winlogon Helper DLL</t>
        </is>
      </c>
      <c r="F267" s="16" t="inlineStr">
        <is>
          <t>Partial</t>
        </is>
      </c>
      <c r="G267"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67" s="16" t="inlineStr">
        <is>
          <t>1. Designated code runs automatically at initial execution.
2. Attack code starts even if the operator does not directly control the execution command.
3. Malicious processes can be autostarted due to insecure images or configuration mistakes.</t>
        </is>
      </c>
      <c r="I267" s="16" t="inlineStr">
        <is>
          <t>Entrypoint/CMD at container startup</t>
        </is>
      </c>
      <c r="J267"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67" s="16" t="n"/>
      <c r="L267" s="16" t="inlineStr">
        <is>
          <t>https://attack.mitre.org/techniques/T1547</t>
        </is>
      </c>
    </row>
    <row r="268" ht="113.4" customHeight="1" s="7">
      <c r="A268" s="16" t="inlineStr">
        <is>
          <t>Privilege Escalation</t>
        </is>
      </c>
      <c r="B268" s="16" t="inlineStr">
        <is>
          <t>T1547</t>
        </is>
      </c>
      <c r="C268" s="16" t="inlineStr">
        <is>
          <t>Boot or Logon Autostart Execution</t>
        </is>
      </c>
      <c r="D268" s="16" t="inlineStr">
        <is>
          <t>T1547.005</t>
        </is>
      </c>
      <c r="E268" s="16" t="inlineStr">
        <is>
          <t>Security Support Provider</t>
        </is>
      </c>
      <c r="F268" s="16" t="inlineStr">
        <is>
          <t>Partial</t>
        </is>
      </c>
      <c r="G268"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68" s="16" t="inlineStr">
        <is>
          <t>1. Designated code runs automatically at initial execution.
2. Attack code starts even if the operator does not directly control the execution command.
3. Malicious processes can be autostarted due to insecure images or configuration mistakes.</t>
        </is>
      </c>
      <c r="I268" s="16" t="inlineStr">
        <is>
          <t>Executed on every container restart</t>
        </is>
      </c>
      <c r="J268"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68" s="16" t="n"/>
      <c r="L268" s="16" t="inlineStr">
        <is>
          <t>https://attack.mitre.org/techniques/T1547</t>
        </is>
      </c>
    </row>
    <row r="269" ht="113.4" customHeight="1" s="7">
      <c r="A269" s="16" t="inlineStr">
        <is>
          <t>Privilege Escalation</t>
        </is>
      </c>
      <c r="B269" s="16" t="inlineStr">
        <is>
          <t>T1547</t>
        </is>
      </c>
      <c r="C269" s="16" t="inlineStr">
        <is>
          <t>Boot or Logon Autostart Execution</t>
        </is>
      </c>
      <c r="D269" s="16" t="inlineStr">
        <is>
          <t>T1547.006</t>
        </is>
      </c>
      <c r="E269" s="16" t="inlineStr">
        <is>
          <t>Kernel Modules and Extensions</t>
        </is>
      </c>
      <c r="F269" s="16" t="inlineStr">
        <is>
          <t>Partial</t>
        </is>
      </c>
      <c r="G269"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69" s="16" t="inlineStr">
        <is>
          <t>1. Designated code runs automatically at initial execution.
2. Attack code starts even if the operator does not directly control the execution command.
3. Malicious processes can be autostarted due to insecure images or configuration mistakes.</t>
        </is>
      </c>
      <c r="I269" s="16" t="inlineStr">
        <is>
          <t>Executed on every container restart</t>
        </is>
      </c>
      <c r="J269"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69" s="16" t="n"/>
      <c r="L269" s="16" t="inlineStr">
        <is>
          <t>https://attack.mitre.org/techniques/T1547</t>
        </is>
      </c>
    </row>
    <row r="270" ht="113.4" customHeight="1" s="7">
      <c r="A270" s="16" t="inlineStr">
        <is>
          <t>Privilege Escalation</t>
        </is>
      </c>
      <c r="B270" s="16" t="inlineStr">
        <is>
          <t>T1547</t>
        </is>
      </c>
      <c r="C270" s="16" t="inlineStr">
        <is>
          <t>Boot or Logon Autostart Execution</t>
        </is>
      </c>
      <c r="D270" s="16" t="inlineStr">
        <is>
          <t>T1547.007</t>
        </is>
      </c>
      <c r="E270" s="16" t="inlineStr">
        <is>
          <t>Re-opened Applications</t>
        </is>
      </c>
      <c r="F270" s="16" t="inlineStr">
        <is>
          <t>Partial</t>
        </is>
      </c>
      <c r="G270"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0" s="16" t="inlineStr">
        <is>
          <t>1. Designated code runs automatically at initial execution.
2. Attack code starts even if the operator does not directly control the execution command.
3. Malicious processes can be autostarted due to insecure images or configuration mistakes.</t>
        </is>
      </c>
      <c r="I270" s="16" t="inlineStr">
        <is>
          <t>Executed on every container restart</t>
        </is>
      </c>
      <c r="J270"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0" s="16" t="n"/>
      <c r="L270" s="16" t="inlineStr">
        <is>
          <t>https://attack.mitre.org/techniques/T1547</t>
        </is>
      </c>
    </row>
    <row r="271" ht="113.4" customHeight="1" s="7">
      <c r="A271" s="16" t="inlineStr">
        <is>
          <t>Privilege Escalation</t>
        </is>
      </c>
      <c r="B271" s="16" t="inlineStr">
        <is>
          <t>T1547</t>
        </is>
      </c>
      <c r="C271" s="16" t="inlineStr">
        <is>
          <t>Boot or Logon Autostart Execution</t>
        </is>
      </c>
      <c r="D271" s="16" t="inlineStr">
        <is>
          <t>T1547.008</t>
        </is>
      </c>
      <c r="E271" s="16" t="inlineStr">
        <is>
          <t>LSASS Driver</t>
        </is>
      </c>
      <c r="F271" s="16" t="inlineStr">
        <is>
          <t>Partial</t>
        </is>
      </c>
      <c r="G271"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1" s="16" t="inlineStr">
        <is>
          <t>1. Designated code runs automatically at initial execution.
2. Attack code starts even if the operator does not directly control the execution command.
3. Malicious processes can be autostarted due to insecure images or configuration mistakes.</t>
        </is>
      </c>
      <c r="I271" s="16" t="inlineStr">
        <is>
          <t>Dockerfile, Kubernetes YAML configuration</t>
        </is>
      </c>
      <c r="J271"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1" s="16" t="n"/>
      <c r="L271" s="16" t="inlineStr">
        <is>
          <t>https://attack.mitre.org/techniques/T1547</t>
        </is>
      </c>
    </row>
    <row r="272" ht="113.4" customHeight="1" s="7">
      <c r="A272" s="16" t="inlineStr">
        <is>
          <t>Privilege Escalation</t>
        </is>
      </c>
      <c r="B272" s="16" t="inlineStr">
        <is>
          <t>T1547</t>
        </is>
      </c>
      <c r="C272" s="16" t="inlineStr">
        <is>
          <t>Boot or Logon Autostart Execution</t>
        </is>
      </c>
      <c r="D272" s="16" t="inlineStr">
        <is>
          <t>T1547.009</t>
        </is>
      </c>
      <c r="E272" s="16" t="inlineStr">
        <is>
          <t>Shortcut Modification</t>
        </is>
      </c>
      <c r="F272" s="16" t="inlineStr">
        <is>
          <t>Partial</t>
        </is>
      </c>
      <c r="G272"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2" s="16" t="inlineStr">
        <is>
          <t>1. Designated code runs automatically at initial execution.
2. Attack code starts even if the operator does not directly control the execution command.
3. Malicious processes can be autostarted due to insecure images or configuration mistakes.</t>
        </is>
      </c>
      <c r="I272" s="16" t="inlineStr">
        <is>
          <t>Dockerfile, Kubernetes YAML configuration</t>
        </is>
      </c>
      <c r="J272"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2" s="16" t="n"/>
      <c r="L272" s="16" t="inlineStr">
        <is>
          <t>https://attack.mitre.org/techniques/T1547</t>
        </is>
      </c>
    </row>
    <row r="273" ht="113.4" customHeight="1" s="7">
      <c r="A273" s="16" t="inlineStr">
        <is>
          <t>Privilege Escalation</t>
        </is>
      </c>
      <c r="B273" s="16" t="inlineStr">
        <is>
          <t>T1547</t>
        </is>
      </c>
      <c r="C273" s="16" t="inlineStr">
        <is>
          <t>Boot or Logon Autostart Execution</t>
        </is>
      </c>
      <c r="D273" s="16" t="inlineStr">
        <is>
          <t>T1547.010</t>
        </is>
      </c>
      <c r="E273" s="16" t="inlineStr">
        <is>
          <t>Port Monitors</t>
        </is>
      </c>
      <c r="F273" s="16" t="inlineStr">
        <is>
          <t>Partial</t>
        </is>
      </c>
      <c r="G273"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3" s="16" t="inlineStr">
        <is>
          <t>1. Designated code runs automatically at initial execution.
2. Attack code starts even if the operator does not directly control the execution command.
3. Malicious processes can be autostarted due to insecure images or configuration mistakes.</t>
        </is>
      </c>
      <c r="I273" s="16" t="inlineStr">
        <is>
          <t>Dockerfile, Kubernetes YAML configuration</t>
        </is>
      </c>
      <c r="J273"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3" s="16" t="n"/>
      <c r="L273" s="16" t="inlineStr">
        <is>
          <t>https://attack.mitre.org/techniques/T1547</t>
        </is>
      </c>
    </row>
    <row r="274" ht="113.4" customHeight="1" s="7">
      <c r="A274" s="16" t="inlineStr">
        <is>
          <t>Privilege Escalation</t>
        </is>
      </c>
      <c r="B274" s="16" t="inlineStr">
        <is>
          <t>T1547</t>
        </is>
      </c>
      <c r="C274" s="16" t="inlineStr">
        <is>
          <t>Boot or Logon Autostart Execution</t>
        </is>
      </c>
      <c r="D274" s="16" t="inlineStr">
        <is>
          <t>T1547.012</t>
        </is>
      </c>
      <c r="E274" s="16" t="inlineStr">
        <is>
          <t>Print Processors</t>
        </is>
      </c>
      <c r="F274" s="16" t="inlineStr">
        <is>
          <t>Partial</t>
        </is>
      </c>
      <c r="G274"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4" s="16" t="inlineStr">
        <is>
          <t>1. Designated code runs automatically at initial execution.
2. Attack code starts even if the operator does not directly control the execution command.
3. Malicious processes can be autostarted due to insecure images or configuration mistakes.</t>
        </is>
      </c>
      <c r="I274" s="16" t="inlineStr">
        <is>
          <t>Dockerfile, Kubernetes YAML configuration</t>
        </is>
      </c>
      <c r="J274"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4" s="16" t="n"/>
      <c r="L274" s="16" t="inlineStr">
        <is>
          <t>https://attack.mitre.org/techniques/T1547</t>
        </is>
      </c>
    </row>
    <row r="275" ht="113.4" customHeight="1" s="7">
      <c r="A275" s="16" t="inlineStr">
        <is>
          <t>Privilege Escalation</t>
        </is>
      </c>
      <c r="B275" s="16" t="inlineStr">
        <is>
          <t>T1547</t>
        </is>
      </c>
      <c r="C275" s="16" t="inlineStr">
        <is>
          <t>Boot or Logon Autostart Execution</t>
        </is>
      </c>
      <c r="D275" s="16" t="inlineStr">
        <is>
          <t>T1547.013</t>
        </is>
      </c>
      <c r="E275" s="16" t="inlineStr">
        <is>
          <t>XDG Autostart Entries</t>
        </is>
      </c>
      <c r="F275" s="16" t="inlineStr">
        <is>
          <t>Partial</t>
        </is>
      </c>
      <c r="G275"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5" s="16" t="inlineStr">
        <is>
          <t>1. Designated code runs automatically at initial execution.
2. Attack code starts even if the operator does not directly control the execution command.
3. Malicious processes can be autostarted due to insecure images or configuration mistakes.</t>
        </is>
      </c>
      <c r="I275" s="16" t="inlineStr">
        <is>
          <t>Analysis of CI/CD audit logs and container execution history is required</t>
        </is>
      </c>
      <c r="J275"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5" s="16" t="n"/>
      <c r="L275" s="16" t="inlineStr">
        <is>
          <t>https://attack.mitre.org/techniques/T1547</t>
        </is>
      </c>
    </row>
    <row r="276" ht="113.4" customHeight="1" s="7">
      <c r="A276" s="16" t="inlineStr">
        <is>
          <t>Privilege Escalation</t>
        </is>
      </c>
      <c r="B276" s="16" t="inlineStr">
        <is>
          <t>T1547</t>
        </is>
      </c>
      <c r="C276" s="16" t="inlineStr">
        <is>
          <t>Boot or Logon Autostart Execution</t>
        </is>
      </c>
      <c r="D276" s="16" t="inlineStr">
        <is>
          <t>T1547.014</t>
        </is>
      </c>
      <c r="E276" s="16" t="inlineStr">
        <is>
          <t>Active Setup</t>
        </is>
      </c>
      <c r="F276" s="16" t="inlineStr">
        <is>
          <t>Partial</t>
        </is>
      </c>
      <c r="G276"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6" s="16" t="inlineStr">
        <is>
          <t>1. Designated code runs automatically at initial execution.
2. Attack code starts even if the operator does not directly control the execution command.
3. Malicious processes can be autostarted due to insecure images or configuration mistakes.</t>
        </is>
      </c>
      <c r="I276" s="16" t="inlineStr">
        <is>
          <t>Analysis of CI/CD audit logs and container execution history is required</t>
        </is>
      </c>
      <c r="J276"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6" s="16" t="n"/>
      <c r="L276" s="16" t="inlineStr">
        <is>
          <t>https://attack.mitre.org/techniques/T1547</t>
        </is>
      </c>
    </row>
    <row r="277" ht="113.4" customHeight="1" s="7">
      <c r="A277" s="16" t="inlineStr">
        <is>
          <t>Privilege Escalation</t>
        </is>
      </c>
      <c r="B277" s="16" t="inlineStr">
        <is>
          <t>T1547</t>
        </is>
      </c>
      <c r="C277" s="16" t="inlineStr">
        <is>
          <t>Boot or Logon Autostart Execution</t>
        </is>
      </c>
      <c r="D277" s="16" t="inlineStr">
        <is>
          <t>T1547.015</t>
        </is>
      </c>
      <c r="E277" s="16" t="inlineStr">
        <is>
          <t>Login Items</t>
        </is>
      </c>
      <c r="F277" s="16" t="inlineStr">
        <is>
          <t>Partial</t>
        </is>
      </c>
      <c r="G277" s="16" t="inlineStr">
        <is>
          <t>DID authentication systems differ structurally from OS-level boot or logon autostart environments, but in container-based microservice architectures persistent intrusion by abusing autostart execution settings is possible, so the technique is judged partially relevant.
[Structural relevance]
DID authentication microservice (container): High (automatically executed code can be inserted through Entrypoint, CMD, InitScript)
CredentialStatus server: Medium (includes DB or status-change logic executed at initial startup)
DID Agent (on-premise): Low (autostart is generally not used)</t>
        </is>
      </c>
      <c r="H277" s="16" t="inlineStr">
        <is>
          <t>1. Designated code runs automatically at initial execution.
2. Attack code starts even if the operator does not directly control the execution command.
3. Malicious processes can be autostarted due to insecure images or configuration mistakes.</t>
        </is>
      </c>
      <c r="I277" s="16" t="inlineStr">
        <is>
          <t>Analysis of CI/CD audit logs and container execution history is required</t>
        </is>
      </c>
      <c r="J277" s="16" t="inlineStr">
        <is>
          <t>1. Apply static analysis tools to container images to check whether Entrypoint and CMD contain malicious commands.
2. Perform image signing and integrity verification before deployment.
3. Log the initial scripts executed at container startup and configure them so that anomalous behavior can be detected.
4. Restrict initContainer and postStart hooks to an allowlist of commands at Pod startup.</t>
        </is>
      </c>
      <c r="K277" s="16" t="n"/>
      <c r="L277" s="16" t="inlineStr">
        <is>
          <t>https://attack.mitre.org/techniques/T1547</t>
        </is>
      </c>
    </row>
    <row r="278" ht="135.8" customHeight="1" s="7">
      <c r="A278" s="16" t="inlineStr">
        <is>
          <t>Privilege Escalation</t>
        </is>
      </c>
      <c r="B278" s="16" t="inlineStr">
        <is>
          <t>T1037</t>
        </is>
      </c>
      <c r="C278" s="16" t="inlineStr">
        <is>
          <t>Boot or Logon Initialization Scripts</t>
        </is>
      </c>
      <c r="D278" s="16" t="inlineStr">
        <is>
          <t>T1037.001</t>
        </is>
      </c>
      <c r="E278" s="16" t="inlineStr">
        <is>
          <t>Logon Script (Windows)</t>
        </is>
      </c>
      <c r="F278" s="16" t="inlineStr">
        <is>
          <t>Partial</t>
        </is>
      </c>
      <c r="G278" s="16" t="inlineStr">
        <is>
          <t>DID systems do not directly use ordinary operating-system logon scripts, but a similar threat can arise in the initialization scripts (init scripts) of containerized authentication microservices or in deployment automation pipelines. In particular, in Kubernetes environments, initContainer, startup.sh, entrypoint.sh, and similar scripts run automatically at boot, and these are judged to be exploitable by attackers.
[Structural relevance]
initContainer (VC issuer/verifier initialization): High (/scripts/startup.sh)
Docker Entrypoint: High (entrypoint.sh, CMD)
GitOps deployment scripts: Medium (initialization after automatic kubectl apply)
DID Wallet / client: Low (generally operates based on user input)</t>
        </is>
      </c>
      <c r="H278" s="16" t="inlineStr">
        <is>
          <t>1. DID authentication systems also have scripts that run automatically at boot/initialization, and depending on the operating environment they run with root privileges.
2. If an attacker can access the initialization scripts, they can control the entire system.
3. The attacker can access sensitive information (VCs, keys, tokens, etc.) or manipulate the authentication flow.</t>
        </is>
      </c>
      <c r="I278" s="16" t="inlineStr">
        <is>
          <t>DID system</t>
        </is>
      </c>
      <c r="J278" s="16" t="inlineStr">
        <is>
          <t>1. Strengthen integrity checks (hash, checksum, etc.) of initialization scripts such as initContainer and entrypoint.sh.
2. Apply code review and signed templates in GitOps pipelines.
3. Collect the execution history of initialization scripts in real time within the DevSecOps environment.
4. Minimize IAM roles for CI/CD pipelines.
5. Restrict commands capable of external communication in startup scripts (restrict use of curl, wget, nc, etc.).</t>
        </is>
      </c>
      <c r="K278" s="16" t="n"/>
      <c r="L278" s="16" t="inlineStr">
        <is>
          <t>https://attack.mitre.org/techniques/T1037</t>
        </is>
      </c>
    </row>
    <row r="279" ht="135.8" customHeight="1" s="7">
      <c r="A279" s="16" t="inlineStr">
        <is>
          <t>Privilege Escalation</t>
        </is>
      </c>
      <c r="B279" s="16" t="inlineStr">
        <is>
          <t>T1037</t>
        </is>
      </c>
      <c r="C279" s="16" t="inlineStr">
        <is>
          <t>Boot or Logon Initialization Scripts</t>
        </is>
      </c>
      <c r="D279" s="16" t="inlineStr">
        <is>
          <t>T1037.002</t>
        </is>
      </c>
      <c r="E279" s="16" t="inlineStr">
        <is>
          <t>Login Hook</t>
        </is>
      </c>
      <c r="F279" s="16" t="inlineStr">
        <is>
          <t>Partial</t>
        </is>
      </c>
      <c r="G279" s="16" t="inlineStr">
        <is>
          <t>DID systems do not directly use ordinary operating-system logon scripts, but a similar threat can arise in the initialization scripts (init scripts) of containerized authentication microservices or in deployment automation pipelines. In particular, in Kubernetes environments, initContainer, startup.sh, entrypoint.sh, and similar scripts run automatically at boot, and these are judged to be exploitable by attackers.
[Structural relevance]
initContainer (VC issuer/verifier initialization): High (/scripts/startup.sh)
Docker Entrypoint: High (entrypoint.sh, CMD)
GitOps deployment scripts: Medium (initialization after automatic kubectl apply)
DID Wallet / client: Low (generally operates based on user input)</t>
        </is>
      </c>
      <c r="H279" s="16" t="inlineStr">
        <is>
          <t>1. DID authentication systems also have scripts that run automatically at boot/initialization, and depending on the operating environment they run with root privileges.
2. If an attacker can access the initialization scripts, they can control the entire system.
3. The attacker can access sensitive information (VCs, keys, tokens, etc.) or manipulate the authentication flow.</t>
        </is>
      </c>
      <c r="I279" s="16" t="inlineStr">
        <is>
          <t>During container initialization or microservice deployment</t>
        </is>
      </c>
      <c r="J279" s="16" t="inlineStr">
        <is>
          <t>1. Strengthen integrity checks (hash, checksum, etc.) of initialization scripts such as initContainer and entrypoint.sh.
2. Apply code review and signed templates in GitOps pipelines.
3. Collect the execution history of initialization scripts in real time within the DevSecOps environment.
4. Minimize IAM roles for CI/CD pipelines.
5. Restrict commands capable of external communication in startup scripts (restrict use of curl, wget, nc, etc.).</t>
        </is>
      </c>
      <c r="K279" s="16" t="inlineStr">
        <is>
          <t>former name of Login Hook</t>
        </is>
      </c>
      <c r="L279" s="16" t="inlineStr">
        <is>
          <t>https://attack.mitre.org/techniques/T1037</t>
        </is>
      </c>
    </row>
    <row r="280" ht="135.8" customHeight="1" s="7">
      <c r="A280" s="16" t="inlineStr">
        <is>
          <t>Privilege Escalation</t>
        </is>
      </c>
      <c r="B280" s="16" t="inlineStr">
        <is>
          <t>T1037</t>
        </is>
      </c>
      <c r="C280" s="16" t="inlineStr">
        <is>
          <t>Boot or Logon Initialization Scripts</t>
        </is>
      </c>
      <c r="D280" s="16" t="inlineStr">
        <is>
          <t>T1037.003</t>
        </is>
      </c>
      <c r="E280" s="16" t="inlineStr">
        <is>
          <t>Network Logon Script</t>
        </is>
      </c>
      <c r="F280" s="16" t="inlineStr">
        <is>
          <t>Partial</t>
        </is>
      </c>
      <c r="G280" s="16" t="inlineStr">
        <is>
          <t>DID systems do not directly use ordinary operating-system logon scripts, but a similar threat can arise in the initialization scripts (init scripts) of containerized authentication microservices or in deployment automation pipelines. In particular, in Kubernetes environments, initContainer, startup.sh, entrypoint.sh, and similar scripts run automatically at boot, and these are judged to be exploitable by attackers.
[Structural relevance]
initContainer (VC issuer/verifier initialization): High (/scripts/startup.sh)
Docker Entrypoint: High (entrypoint.sh, CMD)
GitOps deployment scripts: Medium (initialization after automatic kubectl apply)
DID Wallet / client: Low (generally operates based on user input)</t>
        </is>
      </c>
      <c r="H280" s="16" t="inlineStr">
        <is>
          <t>1. DID authentication systems also have scripts that run automatically at boot/initialization, and depending on the operating environment they run with root privileges.
2. If an attacker can access the initialization scripts, they can control the entire system.
3. The attacker can access sensitive information (VCs, keys, tokens, etc.) or manipulate the authentication flow.</t>
        </is>
      </c>
      <c r="I280" s="16" t="inlineStr">
        <is>
          <t>Container runtime logs and DevOps logs are required</t>
        </is>
      </c>
      <c r="J280" s="16" t="inlineStr">
        <is>
          <t>1. Strengthen integrity checks (hash, checksum, etc.) of initialization scripts such as initContainer and entrypoint.sh.
2. Apply code review and signed templates in GitOps pipelines.
3. Collect the execution history of initialization scripts in real time within the DevSecOps environment.
4. Minimize IAM roles for CI/CD pipelines.
5. Restrict commands capable of external communication in startup scripts (restrict use of curl, wget, nc, etc.).</t>
        </is>
      </c>
      <c r="K280" s="16" t="n"/>
      <c r="L280" s="16" t="inlineStr">
        <is>
          <t>https://attack.mitre.org/techniques/T1037</t>
        </is>
      </c>
    </row>
    <row r="281" ht="135.8" customHeight="1" s="7">
      <c r="A281" s="16" t="inlineStr">
        <is>
          <t>Privilege Escalation</t>
        </is>
      </c>
      <c r="B281" s="16" t="inlineStr">
        <is>
          <t>T1037</t>
        </is>
      </c>
      <c r="C281" s="16" t="inlineStr">
        <is>
          <t>Boot or Logon Initialization Scripts</t>
        </is>
      </c>
      <c r="D281" s="16" t="inlineStr">
        <is>
          <t>T1037.004</t>
        </is>
      </c>
      <c r="E281" s="16" t="inlineStr">
        <is>
          <t>RC Scripts</t>
        </is>
      </c>
      <c r="F281" s="16" t="inlineStr">
        <is>
          <t>Partial</t>
        </is>
      </c>
      <c r="G281" s="16" t="inlineStr">
        <is>
          <t>DID systems do not directly use ordinary operating-system logon scripts, but a similar threat can arise in the initialization scripts (init scripts) of containerized authentication microservices or in deployment automation pipelines. In particular, in Kubernetes environments, initContainer, startup.sh, entrypoint.sh, and similar scripts run automatically at boot, and these are judged to be exploitable by attackers.
[Structural relevance]
initContainer (VC issuer/verifier initialization): High (/scripts/startup.sh)
Docker Entrypoint: High (entrypoint.sh, CMD)
GitOps deployment scripts: Medium (initialization after automatic kubectl apply)
DID Wallet / client: Low (generally operates based on user input)</t>
        </is>
      </c>
      <c r="H281" s="16" t="inlineStr">
        <is>
          <t>1. DID authentication systems also have scripts that run automatically at boot/initialization, and depending on the operating environment they run with root privileges.
2. If an attacker can access the initialization scripts, they can control the entire system.
3. The attacker can access sensitive information (VCs, keys, tokens, etc.) or manipulate the authentication flow.</t>
        </is>
      </c>
      <c r="I281" s="16" t="inlineStr">
        <is>
          <t>VC forgery, loss of trust, acquisition of microservice access privileges</t>
        </is>
      </c>
      <c r="J281" s="16" t="inlineStr">
        <is>
          <t>1. Strengthen integrity checks (hash, checksum, etc.) of initialization scripts such as initContainer and entrypoint.sh.
2. Apply code review and signed templates in GitOps pipelines.
3. Collect the execution history of initialization scripts in real time within the DevSecOps environment.
4. Minimize IAM roles for CI/CD pipelines.
5. Restrict commands capable of external communication in startup scripts (restrict use of curl, wget, nc, etc.).</t>
        </is>
      </c>
      <c r="K281" s="16" t="n"/>
      <c r="L281" s="16" t="inlineStr">
        <is>
          <t>https://attack.mitre.org/techniques/T1037</t>
        </is>
      </c>
    </row>
    <row r="282" ht="135.8" customHeight="1" s="7">
      <c r="A282" s="16" t="inlineStr">
        <is>
          <t>Privilege Escalation</t>
        </is>
      </c>
      <c r="B282" s="16" t="inlineStr">
        <is>
          <t>T1037</t>
        </is>
      </c>
      <c r="C282" s="16" t="inlineStr">
        <is>
          <t>Boot or Logon Initialization Scripts</t>
        </is>
      </c>
      <c r="D282" s="16" t="inlineStr">
        <is>
          <t>T1037.005</t>
        </is>
      </c>
      <c r="E282" s="16" t="inlineStr">
        <is>
          <t>Startup Items</t>
        </is>
      </c>
      <c r="F282" s="16" t="inlineStr">
        <is>
          <t>Partial</t>
        </is>
      </c>
      <c r="G282" s="16" t="inlineStr">
        <is>
          <t>DID systems do not directly use ordinary operating-system logon scripts, but a similar threat can arise in the initialization scripts (init scripts) of containerized authentication microservices or in deployment automation pipelines. In particular, in Kubernetes environments, initContainer, startup.sh, entrypoint.sh, and similar scripts run automatically at boot, and these are judged to be exploitable by attackers.
[Structural relevance]
initContainer (VC issuer/verifier initialization): High (/scripts/startup.sh)
Docker Entrypoint: High (entrypoint.sh, CMD)
GitOps deployment scripts: Medium (initialization after automatic kubectl apply)
DID Wallet / client: Low (generally operates based on user input)</t>
        </is>
      </c>
      <c r="H282" s="16" t="inlineStr">
        <is>
          <t>1. DID authentication systems also have scripts that run automatically at boot/initialization, and depending on the operating environment they run with root privileges.
2. If an attacker can access the initialization scripts, they can control the entire system.
3. The attacker can access sensitive information (VCs, keys, tokens, etc.) or manipulate the authentication flow.</t>
        </is>
      </c>
      <c r="I282" s="16" t="inlineStr">
        <is>
          <t>VC forgery, loss of trust, acquisition of microservice access privileges</t>
        </is>
      </c>
      <c r="J282" s="16" t="inlineStr">
        <is>
          <t>1. Strengthen integrity checks (hash, checksum, etc.) of initialization scripts such as initContainer and entrypoint.sh.
2. Apply code review and signed templates in GitOps pipelines.
3. Collect the execution history of initialization scripts in real time within the DevSecOps environment.
4. Minimize IAM roles for CI/CD pipelines.
5. Restrict commands capable of external communication in startup scripts (restrict use of curl, wget, nc, etc.).</t>
        </is>
      </c>
      <c r="K282" s="16" t="n"/>
      <c r="L282" s="16" t="inlineStr">
        <is>
          <t>https://attack.mitre.org/techniques/T1037</t>
        </is>
      </c>
    </row>
    <row r="283" ht="169.4" customHeight="1" s="7">
      <c r="A283" s="16" t="inlineStr">
        <is>
          <t>Privilege Escalation</t>
        </is>
      </c>
      <c r="B283" s="16" t="inlineStr">
        <is>
          <t>T1543</t>
        </is>
      </c>
      <c r="C283" s="16" t="inlineStr">
        <is>
          <t>Create or Modify System Process</t>
        </is>
      </c>
      <c r="D283" s="16" t="inlineStr">
        <is>
          <t>T1543.003</t>
        </is>
      </c>
      <c r="E283" s="16" t="inlineStr">
        <is>
          <t>Windows Service</t>
        </is>
      </c>
      <c r="F283" s="16" t="inlineStr">
        <is>
          <t>Partial</t>
        </is>
      </c>
      <c r="G283" s="16" t="inlineStr">
        <is>
          <t>DID authentication systems also have back-end service components in the form of daemon/agent processes or container jobs running on microservices. If an attacker manipulates system processes such as the credential issuer, Status API, or Verifier Agent, persistent attacks such as VC forgery and authentication bypass become possible, so the technique has strong structural and functional relevance to T1543.
[Structural relevance]
DID Wallet: Low (an ordinary user's mobile app, with no privilege to change system processes)
DID Agent Server: High (Node.js/Python-based agents run like daemons and are attack targets)
CredentialStatus API: High (a continuously running back-end service that can be registered or modified as a service)</t>
        </is>
      </c>
      <c r="H283" s="16" t="inlineStr">
        <is>
          <t>1. Back-end components operate as continuously running services or on containers.
2. If an attacker creates or modifies a system process, they can manipulate the authentication flow or return forged results.
3. Most run with root or system privileges, so a successful attack yields privilege escalation.</t>
        </is>
      </c>
      <c r="I283" s="16" t="inlineStr">
        <is>
          <t>DID system</t>
        </is>
      </c>
      <c r="J283" s="16" t="inlineStr">
        <is>
          <t>1. A logging scheme that monitors the registration/change history of all service processes is needed (e.g., tracking systemd unit and container job registration events).
2. Strengthen integrity and signature-based verification of container images.
3. An integrity monitoring tool is needed that periodically checks for changes to the authentication server's entrypoint, execution scripts, and daemon configuration files.
4. Apply a whitelist-based execution policy when registering new services or containers.
5. A separate verification scheme for execution logic is needed so that the Verifier does not contain unintended VC status manipulation logic.</t>
        </is>
      </c>
      <c r="K283" s="16" t="n"/>
      <c r="L283" s="16" t="inlineStr">
        <is>
          <t>https://attack.mitre.org/techniques/T1543</t>
        </is>
      </c>
    </row>
    <row r="284" ht="169.4" customHeight="1" s="7">
      <c r="A284" s="16" t="inlineStr">
        <is>
          <t>Privilege Escalation</t>
        </is>
      </c>
      <c r="B284" s="16" t="inlineStr">
        <is>
          <t>T1543</t>
        </is>
      </c>
      <c r="C284" s="16" t="inlineStr">
        <is>
          <t>Create or Modify System Process</t>
        </is>
      </c>
      <c r="D284" s="16" t="inlineStr">
        <is>
          <t>T1543.002</t>
        </is>
      </c>
      <c r="E284" s="16" t="inlineStr">
        <is>
          <t>Systemd Service</t>
        </is>
      </c>
      <c r="F284" s="16" t="inlineStr">
        <is>
          <t>Partial</t>
        </is>
      </c>
      <c r="G284" s="16" t="inlineStr">
        <is>
          <t>DID authentication systems also have back-end service components in the form of daemon/agent processes or container jobs running on microservices. If an attacker manipulates system processes such as the credential issuer, Status API, or Verifier Agent, persistent attacks such as VC forgery and authentication bypass become possible, so the technique has strong structural and functional relevance to T1543.
[Structural relevance]
DID Wallet: Low (an ordinary user's mobile app, with no privilege to change system processes)
DID Agent Server: High (Node.js/Python-based agents run like daemons and are attack targets)
CredentialStatus API: High (a continuously running back-end service that can be registered or modified as a service)</t>
        </is>
      </c>
      <c r="H284" s="16" t="inlineStr">
        <is>
          <t>1. Back-end components operate as continuously running services or on containers.
2. If an attacker creates or modifies a system process, they can manipulate the authentication flow or return forged results.
3. Most run with root or system privileges, so a successful attack yields privilege escalation.</t>
        </is>
      </c>
      <c r="I284" s="16" t="inlineStr">
        <is>
          <t>Microservice-based authentication servers or containers</t>
        </is>
      </c>
      <c r="J284" s="16" t="inlineStr">
        <is>
          <t>1. A logging scheme that monitors the registration/change history of all service processes is needed (e.g., tracking systemd unit and container job registration events).
2. Strengthen integrity and signature-based verification of container images.
3. An integrity monitoring tool is needed that periodically checks for changes to the authentication server's entrypoint, execution scripts, and daemon configuration files.
4. Apply a whitelist-based execution policy when registering new services or containers.
5. A separate verification scheme for execution logic is needed so that the Verifier does not contain unintended VC status manipulation logic.</t>
        </is>
      </c>
      <c r="K284" s="16" t="n"/>
      <c r="L284" s="16" t="inlineStr">
        <is>
          <t>https://attack.mitre.org/techniques/T1543</t>
        </is>
      </c>
    </row>
    <row r="285" ht="169.4" customHeight="1" s="7">
      <c r="A285" s="16" t="inlineStr">
        <is>
          <t>Privilege Escalation</t>
        </is>
      </c>
      <c r="B285" s="16" t="inlineStr">
        <is>
          <t>T1543</t>
        </is>
      </c>
      <c r="C285" s="16" t="inlineStr">
        <is>
          <t>Create or Modify System Process</t>
        </is>
      </c>
      <c r="D285" s="16" t="inlineStr">
        <is>
          <t>T1546.004</t>
        </is>
      </c>
      <c r="E285" s="16" t="inlineStr">
        <is>
          <t>Unix Shell Configuration Modification</t>
        </is>
      </c>
      <c r="F285" s="16" t="inlineStr">
        <is>
          <t>Partial</t>
        </is>
      </c>
      <c r="G285" s="16" t="inlineStr">
        <is>
          <t>DID authentication systems also have back-end service components in the form of daemon/agent processes or container jobs running on microservices. If an attacker manipulates system processes such as the credential issuer, Status API, or Verifier Agent, persistent attacks such as VC forgery and authentication bypass become possible, so the technique has strong structural and functional relevance to T1543.
[Structural relevance]
DID Wallet: Low (an ordinary user's mobile app, with no privilege to change system processes)
DID Agent Server: High (Node.js/Python-based agents run like daemons and are attack targets)
CredentialStatus API: High (a continuously running back-end service that can be registered or modified as a service)</t>
        </is>
      </c>
      <c r="H285" s="16" t="inlineStr">
        <is>
          <t>1. Back-end components operate as continuously running services or on containers.
2. If an attacker creates or modifies a system process, they can manipulate the authentication flow or return forged results.
3. Most run with root or system privileges, so a successful attack yields privilege escalation.</t>
        </is>
      </c>
      <c r="I285" s="16" t="inlineStr">
        <is>
          <t>Distortion of authentication, such as forged VC issuance and manipulation of verification logic</t>
        </is>
      </c>
      <c r="J285" s="16" t="inlineStr">
        <is>
          <t>1. A logging scheme that monitors the registration/change history of all service processes is needed (e.g., tracking systemd unit and container job registration events).
2. Strengthen integrity and signature-based verification of container images.
3. An integrity monitoring tool is needed that periodically checks for changes to the authentication server's entrypoint, execution scripts, and daemon configuration files.
4. Apply a whitelist-based execution policy when registering new services or containers.
5. A separate verification scheme for execution logic is needed so that the Verifier does not contain unintended VC status manipulation logic.</t>
        </is>
      </c>
      <c r="K285" s="16" t="inlineStr">
        <is>
          <t>v17 sub-technique of T1546</t>
        </is>
      </c>
      <c r="L285" s="16" t="inlineStr">
        <is>
          <t>https://attack.mitre.org/techniques/T1543</t>
        </is>
      </c>
    </row>
    <row r="286" ht="169.4" customHeight="1" s="7">
      <c r="A286" s="16" t="inlineStr">
        <is>
          <t>Privilege Escalation</t>
        </is>
      </c>
      <c r="B286" s="16" t="inlineStr">
        <is>
          <t>T1543</t>
        </is>
      </c>
      <c r="C286" s="16" t="inlineStr">
        <is>
          <t>Create or Modify System Process</t>
        </is>
      </c>
      <c r="D286" s="16" t="inlineStr">
        <is>
          <t>T1543.004</t>
        </is>
      </c>
      <c r="E286" s="16" t="inlineStr">
        <is>
          <t>Launch Daemon</t>
        </is>
      </c>
      <c r="F286" s="16" t="inlineStr">
        <is>
          <t>Partial</t>
        </is>
      </c>
      <c r="G286" s="16" t="inlineStr">
        <is>
          <t>DID authentication systems also have back-end service components in the form of daemon/agent processes or container jobs running on microservices. If an attacker manipulates system processes such as the credential issuer, Status API, or Verifier Agent, persistent attacks such as VC forgery and authentication bypass become possible, so the technique has strong structural and functional relevance to T1543.
[Structural relevance]
DID Wallet: Low (an ordinary user's mobile app, with no privilege to change system processes)
DID Agent Server: High (Node.js/Python-based agents run like daemons and are attack targets)
CredentialStatus API: High (a continuously running back-end service that can be registered or modified as a service)</t>
        </is>
      </c>
      <c r="H286" s="16" t="inlineStr">
        <is>
          <t>1. Back-end components operate as continuously running services or on containers.
2. If an attacker creates or modifies a system process, they can manipulate the authentication flow or return forged results.
3. Most run with root or system privileges, so a successful attack yields privilege escalation.</t>
        </is>
      </c>
      <c r="I286" s="16" t="inlineStr">
        <is>
          <t>Collapse of the trust-based authentication flow and privacy violations</t>
        </is>
      </c>
      <c r="J286" s="16" t="inlineStr">
        <is>
          <t>1. A logging scheme that monitors the registration/change history of all service processes is needed (e.g., tracking systemd unit and container job registration events).
2. Strengthen integrity and signature-based verification of container images.
3. An integrity monitoring tool is needed that periodically checks for changes to the authentication server's entrypoint, execution scripts, and daemon configuration files.
4. Apply a whitelist-based execution policy when registering new services or containers.
5. A separate verification scheme for execution logic is needed so that the Verifier does not contain unintended VC status manipulation logic.</t>
        </is>
      </c>
      <c r="K286" s="16" t="n"/>
      <c r="L286" s="16" t="inlineStr">
        <is>
          <t>https://attack.mitre.org/techniques/T1543</t>
        </is>
      </c>
    </row>
    <row r="287" ht="169.4" customHeight="1" s="7">
      <c r="A287" s="16" t="inlineStr">
        <is>
          <t>Privilege Escalation</t>
        </is>
      </c>
      <c r="B287" s="16" t="inlineStr">
        <is>
          <t>T1543</t>
        </is>
      </c>
      <c r="C287" s="16" t="inlineStr">
        <is>
          <t>Create or Modify System Process</t>
        </is>
      </c>
      <c r="D287" s="16" t="inlineStr">
        <is>
          <t>T1543.001</t>
        </is>
      </c>
      <c r="E287" s="16" t="inlineStr">
        <is>
          <t>Launch Agent</t>
        </is>
      </c>
      <c r="F287" s="16" t="inlineStr">
        <is>
          <t>Partial</t>
        </is>
      </c>
      <c r="G287" s="16" t="inlineStr">
        <is>
          <t>DID authentication systems also have back-end service components in the form of daemon/agent processes or container jobs running on microservices. If an attacker manipulates system processes such as the credential issuer, Status API, or Verifier Agent, persistent attacks such as VC forgery and authentication bypass become possible, so the technique has strong structural and functional relevance to T1543.
[Structural relevance]
DID Wallet: Low (an ordinary user's mobile app, with no privilege to change system processes)
DID Agent Server: High (Node.js/Python-based agents run like daemons and are attack targets)
CredentialStatus API: High (a continuously running back-end service that can be registered or modified as a service)</t>
        </is>
      </c>
      <c r="H287" s="16" t="inlineStr">
        <is>
          <t>1. Back-end components operate as continuously running services or on containers.
2. If an attacker creates or modifies a system process, they can manipulate the authentication flow or return forged results.
3. Most run with root or system privileges, so a successful attack yields privilege escalation.</t>
        </is>
      </c>
      <c r="I287" s="16" t="inlineStr">
        <is>
          <t>Log integrity verification and execution-function integrity verification are required</t>
        </is>
      </c>
      <c r="J287" s="16" t="inlineStr">
        <is>
          <t>1. A logging scheme that monitors the registration/change history of all service processes is needed (e.g., tracking systemd unit and container job registration events).
2. Strengthen integrity and signature-based verification of container images.
3. An integrity monitoring tool is needed that periodically checks for changes to the authentication server's entrypoint, execution scripts, and daemon configuration files.
4. Apply a whitelist-based execution policy when registering new services or containers.
5. A separate verification scheme for execution logic is needed so that the Verifier does not contain unintended VC status manipulation logic.</t>
        </is>
      </c>
      <c r="K287" s="16" t="n"/>
      <c r="L287" s="16" t="inlineStr">
        <is>
          <t>https://attack.mitre.org/techniques/T1543</t>
        </is>
      </c>
    </row>
    <row r="288" ht="158.2" customHeight="1" s="7">
      <c r="A288" s="16" t="inlineStr">
        <is>
          <t>Privilege Escalation</t>
        </is>
      </c>
      <c r="B288" s="16" t="inlineStr">
        <is>
          <t>T1484</t>
        </is>
      </c>
      <c r="C288" s="16" t="inlineStr">
        <is>
          <t>Domain or Tenant Policy Modification</t>
        </is>
      </c>
      <c r="D288" s="16" t="inlineStr">
        <is>
          <t>T1484.001</t>
        </is>
      </c>
      <c r="E288" s="16" t="inlineStr">
        <is>
          <t>Group Policy Modification</t>
        </is>
      </c>
      <c r="F288" s="16" t="inlineStr">
        <is>
          <t>Partial</t>
        </is>
      </c>
      <c r="G288" s="16" t="inlineStr">
        <is>
          <t>DID systems do not use a traditional Active Directory-based domain structure, but they often operate tenant-based identity policy management structures (lists of authentication providers, VC issuance privilege policies). Direct GPO modification does not apply, but a similar threat can arise through changes to off-chain authentication policies or federated identity provider settings.
[Structural relevance]
DID Wallet: Low (no privilege to change domain policies)
DID Agent Server: Medium (if authentication policies are configured in server configuration files or a DB, they may be changed)
CredentialStatus API: Medium (internal flags that affect status policies may be manipulated)
Authentication gateway (federation management layer): High (settings of external IdPs (federated providers) or VC issuers can be changed)</t>
        </is>
      </c>
      <c r="H288" s="16" t="inlineStr">
        <is>
          <t>1. The system operates according to central settings (policies), and policy changes affect the entire authentication flow.
2. Changing external integration settings can create an authentication flow intended by the attacker.
3. A similar trace-evasion pattern, in which settings are changed temporarily and then restored, can occur.</t>
        </is>
      </c>
      <c r="I288" s="16" t="inlineStr">
        <is>
          <t>DID system</t>
        </is>
      </c>
      <c r="J288" s="16" t="inlineStr">
        <is>
          <t>1. Detect authentication flow manipulation by monitoring logs of federated identity provider additions/changes.
2. Periodically perform integrity hash checks on the configuration files or DB that store authentication policies and VC issuance rules.
3. Record changes to verification policies on the Verifier side with version control and auditability.
4. Introduce a policy approval flow through administrator signatures or dual confirmation (MFA, approval procedures) for policy changes.</t>
        </is>
      </c>
      <c r="K288" s="16" t="n"/>
      <c r="L288" s="16" t="inlineStr">
        <is>
          <t>https://attack.mitre.org/techniques/T1484</t>
        </is>
      </c>
    </row>
    <row r="289" ht="158.2" customHeight="1" s="7">
      <c r="A289" s="16" t="inlineStr">
        <is>
          <t>Privilege Escalation</t>
        </is>
      </c>
      <c r="B289" s="16" t="inlineStr">
        <is>
          <t>T1484</t>
        </is>
      </c>
      <c r="C289" s="16" t="inlineStr">
        <is>
          <t>Domain or Tenant Policy Modification</t>
        </is>
      </c>
      <c r="D289" s="16" t="inlineStr">
        <is>
          <t>T1484.002</t>
        </is>
      </c>
      <c r="E289" s="16" t="inlineStr">
        <is>
          <t>Trust Modification</t>
        </is>
      </c>
      <c r="F289" s="16" t="inlineStr">
        <is>
          <t>Partial</t>
        </is>
      </c>
      <c r="G289" s="16" t="inlineStr">
        <is>
          <t>DID systems do not use a traditional Active Directory-based domain structure, but they often operate tenant-based identity policy management structures (lists of authentication providers, VC issuance privilege policies). Direct GPO modification does not apply, but a similar threat can arise through changes to off-chain authentication policies or federated identity provider settings.
[Structural relevance]
DID Wallet: Low (no privilege to change domain policies)
DID Agent Server: Medium (if authentication policies are configured in server configuration files or a DB, they may be changed)
CredentialStatus API: Medium (internal flags that affect status policies may be manipulated)
Authentication gateway (federation management layer): High (settings of external IdPs (federated providers) or VC issuers can be changed)</t>
        </is>
      </c>
      <c r="H289" s="16" t="inlineStr">
        <is>
          <t>1. The system operates according to central settings (policies), and policy changes affect the entire authentication flow.
2. Changing external integration settings can create an authentication flow intended by the attacker.
3. A similar trace-evasion pattern, in which settings are changed temporarily and then restored, can occur.</t>
        </is>
      </c>
      <c r="I289" s="16" t="inlineStr">
        <is>
          <t>Registration of untrusted IdPs; neutralization of authentication policies</t>
        </is>
      </c>
      <c r="J289" s="16" t="inlineStr">
        <is>
          <t>1. Detect authentication flow manipulation by monitoring logs of federated identity provider additions/changes.
2. Periodically perform integrity hash checks on the configuration files or DB that store authentication policies and VC issuance rules.
3. Record changes to verification policies on the Verifier side with version control and auditability.
4. Introduce a policy approval flow through administrator signatures or dual confirmation (MFA, approval procedures) for policy changes.</t>
        </is>
      </c>
      <c r="K289" s="16" t="n"/>
      <c r="L289" s="16" t="inlineStr">
        <is>
          <t>https://attack.mitre.org/techniques/T1484</t>
        </is>
      </c>
    </row>
    <row r="290" ht="158.2" customHeight="1" s="7">
      <c r="A290" s="16" t="inlineStr">
        <is>
          <t>Privilege Escalation</t>
        </is>
      </c>
      <c r="B290" s="16" t="inlineStr">
        <is>
          <t>T1611</t>
        </is>
      </c>
      <c r="C290" s="16" t="inlineStr">
        <is>
          <t>Escape to Host</t>
        </is>
      </c>
      <c r="D290" s="16" t="n"/>
      <c r="E290" s="16" t="n"/>
      <c r="F290" s="16" t="inlineStr">
        <is>
          <t>Partial</t>
        </is>
      </c>
      <c r="G290" s="16" t="inlineStr">
        <is>
          <t>DID authentication systems are commonly deployed as container-based microservices (Kubernetes, Docker), with each microservice running in an isolated container. If an attacker compromises a container hosting a VC issuer or verifier and escapes to the host, they can take over the entire DID authentication system or move laterally, so the technique is highly relevant to T1611.
[Structural relevance]
DID Wallet: None (a local application, not a container environment)
DID Agent Server: High (authentication microservices are deployed as containers)
CredentialStatus API: High (when operated as Kubernetes Pods or Docker containers)</t>
        </is>
      </c>
      <c r="H290" s="16" t="inlineStr">
        <is>
          <t>1. Authentication logic runs inside an isolated container environment, and potential attack vectors for privilege escalation exist.
2. If an attacker accesses the host file system, sockets (docker.sock), network namespaces, etc. from a container, the entire authentication system can be endangered.
3. If some microservices run as privileged containers, the security boundary is weakened.</t>
        </is>
      </c>
      <c r="I290" s="16" t="inlineStr">
        <is>
          <t>DID system</t>
        </is>
      </c>
      <c r="J290" s="16" t="inlineStr">
        <is>
          <t>1. Configure all DID containers with a read-only file system, a rootless environment, and dropped Linux capabilities.
2. Never share sensitive paths such as hostPath, docker.sock, /var/run, and /proc.
3. Prohibit the privileged: true setting and strengthen isolation through PodSecurityPolicy or Pod Security Standards.
4. Block syscalls associated with escape attempts, such as unshare, keyctl, and mount, with seccomp.
5. All container image changes and execution logs must be traceable through integrity checks and logging.</t>
        </is>
      </c>
      <c r="K290" s="16" t="n"/>
      <c r="L290" s="16" t="inlineStr">
        <is>
          <t>https://attack.mitre.org/techniques/T1611</t>
        </is>
      </c>
    </row>
    <row r="291" ht="169.4" customHeight="1" s="7">
      <c r="A291" s="16" t="inlineStr">
        <is>
          <t>Privilege Escalation</t>
        </is>
      </c>
      <c r="B291" s="16" t="inlineStr">
        <is>
          <t>T1546</t>
        </is>
      </c>
      <c r="C291" s="16" t="inlineStr">
        <is>
          <t>Event Triggered Execution</t>
        </is>
      </c>
      <c r="D291" s="16" t="inlineStr">
        <is>
          <t>T1546.001</t>
        </is>
      </c>
      <c r="E291" s="16" t="inlineStr">
        <is>
          <t>Change Default File Association</t>
        </is>
      </c>
      <c r="F291" s="16" t="inlineStr">
        <is>
          <t>Partial</t>
        </is>
      </c>
      <c r="G291"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1"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1" s="16" t="inlineStr">
        <is>
          <t>DID system</t>
        </is>
      </c>
      <c r="J291"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1" s="16" t="n"/>
      <c r="L291" s="16" t="inlineStr">
        <is>
          <t>https://attack.mitre.org/techniques/T1546</t>
        </is>
      </c>
    </row>
    <row r="292" ht="169.4" customHeight="1" s="7">
      <c r="A292" s="16" t="inlineStr">
        <is>
          <t>Privilege Escalation</t>
        </is>
      </c>
      <c r="B292" s="16" t="inlineStr">
        <is>
          <t>T1546</t>
        </is>
      </c>
      <c r="C292" s="16" t="inlineStr">
        <is>
          <t>Event Triggered Execution</t>
        </is>
      </c>
      <c r="D292" s="16" t="inlineStr">
        <is>
          <t>T1546.002</t>
        </is>
      </c>
      <c r="E292" s="16" t="inlineStr">
        <is>
          <t>Screensaver</t>
        </is>
      </c>
      <c r="F292" s="16" t="inlineStr">
        <is>
          <t>Partial</t>
        </is>
      </c>
      <c r="G292"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2"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2" s="16" t="inlineStr">
        <is>
          <t>DID system</t>
        </is>
      </c>
      <c r="J292"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2" s="16" t="n"/>
      <c r="L292" s="16" t="inlineStr">
        <is>
          <t>https://attack.mitre.org/techniques/T1546</t>
        </is>
      </c>
    </row>
    <row r="293" ht="169.4" customHeight="1" s="7">
      <c r="A293" s="16" t="inlineStr">
        <is>
          <t>Privilege Escalation</t>
        </is>
      </c>
      <c r="B293" s="16" t="inlineStr">
        <is>
          <t>T1546</t>
        </is>
      </c>
      <c r="C293" s="16" t="inlineStr">
        <is>
          <t>Event Triggered Execution</t>
        </is>
      </c>
      <c r="D293" s="16" t="inlineStr">
        <is>
          <t>T1546.003</t>
        </is>
      </c>
      <c r="E293" s="16" t="inlineStr">
        <is>
          <t>Windows Management Instrumentation Event Subscription</t>
        </is>
      </c>
      <c r="F293" s="16" t="inlineStr">
        <is>
          <t>Partial</t>
        </is>
      </c>
      <c r="G293"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3"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3" s="16" t="inlineStr">
        <is>
          <t>DID system</t>
        </is>
      </c>
      <c r="J293"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3" s="16" t="n"/>
      <c r="L293" s="16" t="inlineStr">
        <is>
          <t>https://attack.mitre.org/techniques/T1546</t>
        </is>
      </c>
    </row>
    <row r="294" ht="169.4" customHeight="1" s="7">
      <c r="A294" s="16" t="inlineStr">
        <is>
          <t>Privilege Escalation</t>
        </is>
      </c>
      <c r="B294" s="16" t="inlineStr">
        <is>
          <t>T1546</t>
        </is>
      </c>
      <c r="C294" s="16" t="inlineStr">
        <is>
          <t>Event Triggered Execution</t>
        </is>
      </c>
      <c r="D294" s="16" t="inlineStr">
        <is>
          <t>T1546.004</t>
        </is>
      </c>
      <c r="E294" s="16" t="inlineStr">
        <is>
          <t>Unix Shell Configuration Modification</t>
        </is>
      </c>
      <c r="F294" s="16" t="inlineStr">
        <is>
          <t>Partial</t>
        </is>
      </c>
      <c r="G294"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4"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4" s="16" t="inlineStr">
        <is>
          <t>VC issuance requests, trust changes, API calls, etc.</t>
        </is>
      </c>
      <c r="J294"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4" s="16" t="inlineStr">
        <is>
          <t>former name of Unix Shell Configuration Modification</t>
        </is>
      </c>
      <c r="L294" s="16" t="inlineStr">
        <is>
          <t>https://attack.mitre.org/techniques/T1546</t>
        </is>
      </c>
    </row>
    <row r="295" ht="169.4" customHeight="1" s="7">
      <c r="A295" s="16" t="inlineStr">
        <is>
          <t>Privilege Escalation</t>
        </is>
      </c>
      <c r="B295" s="16" t="inlineStr">
        <is>
          <t>T1546</t>
        </is>
      </c>
      <c r="C295" s="16" t="inlineStr">
        <is>
          <t>Event Triggered Execution</t>
        </is>
      </c>
      <c r="D295" s="16" t="inlineStr">
        <is>
          <t>T1546.005</t>
        </is>
      </c>
      <c r="E295" s="16" t="inlineStr">
        <is>
          <t>Trap</t>
        </is>
      </c>
      <c r="F295" s="16" t="inlineStr">
        <is>
          <t>Partial</t>
        </is>
      </c>
      <c r="G295"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5"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5" s="16" t="inlineStr">
        <is>
          <t>VC issuance requests, trust changes, API calls, etc.</t>
        </is>
      </c>
      <c r="J295"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5" s="16" t="n"/>
      <c r="L295" s="16" t="inlineStr">
        <is>
          <t>https://attack.mitre.org/techniques/T1546</t>
        </is>
      </c>
    </row>
    <row r="296" ht="169.4" customHeight="1" s="7">
      <c r="A296" s="16" t="inlineStr">
        <is>
          <t>Privilege Escalation</t>
        </is>
      </c>
      <c r="B296" s="16" t="inlineStr">
        <is>
          <t>T1546</t>
        </is>
      </c>
      <c r="C296" s="16" t="inlineStr">
        <is>
          <t>Event Triggered Execution</t>
        </is>
      </c>
      <c r="D296" s="16" t="inlineStr">
        <is>
          <t>T1546.006</t>
        </is>
      </c>
      <c r="E296" s="16" t="inlineStr">
        <is>
          <t>LC_LOAD_DYLIB Addition</t>
        </is>
      </c>
      <c r="F296" s="16" t="inlineStr">
        <is>
          <t>Partial</t>
        </is>
      </c>
      <c r="G296"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6"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6" s="16" t="inlineStr">
        <is>
          <t>VC issuance requests, trust changes, API calls, etc.</t>
        </is>
      </c>
      <c r="J296"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6" s="16" t="n"/>
      <c r="L296" s="16" t="inlineStr">
        <is>
          <t>https://attack.mitre.org/techniques/T1546</t>
        </is>
      </c>
    </row>
    <row r="297" ht="169.4" customHeight="1" s="7">
      <c r="A297" s="16" t="inlineStr">
        <is>
          <t>Privilege Escalation</t>
        </is>
      </c>
      <c r="B297" s="16" t="inlineStr">
        <is>
          <t>T1546</t>
        </is>
      </c>
      <c r="C297" s="16" t="inlineStr">
        <is>
          <t>Event Triggered Execution</t>
        </is>
      </c>
      <c r="D297" s="16" t="inlineStr">
        <is>
          <t>T1546.007</t>
        </is>
      </c>
      <c r="E297" s="16" t="inlineStr">
        <is>
          <t>Netsh Helper DLL</t>
        </is>
      </c>
      <c r="F297" s="16" t="inlineStr">
        <is>
          <t>Partial</t>
        </is>
      </c>
      <c r="G297"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7"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7" s="16" t="inlineStr">
        <is>
          <t>VC issuance requests, trust changes, API calls, etc.</t>
        </is>
      </c>
      <c r="J297"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7" s="16" t="n"/>
      <c r="L297" s="16" t="inlineStr">
        <is>
          <t>https://attack.mitre.org/techniques/T1546</t>
        </is>
      </c>
    </row>
    <row r="298" ht="169.4" customHeight="1" s="7">
      <c r="A298" s="16" t="inlineStr">
        <is>
          <t>Privilege Escalation</t>
        </is>
      </c>
      <c r="B298" s="16" t="inlineStr">
        <is>
          <t>T1546</t>
        </is>
      </c>
      <c r="C298" s="16" t="inlineStr">
        <is>
          <t>Event Triggered Execution</t>
        </is>
      </c>
      <c r="D298" s="16" t="inlineStr">
        <is>
          <t>T1546.008</t>
        </is>
      </c>
      <c r="E298" s="16" t="inlineStr">
        <is>
          <t>Accessibility Features</t>
        </is>
      </c>
      <c r="F298" s="16" t="inlineStr">
        <is>
          <t>Partial</t>
        </is>
      </c>
      <c r="G298"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8"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8" s="16" t="inlineStr">
        <is>
          <t>Authentication microservices, Lambda, serverless environments</t>
        </is>
      </c>
      <c r="J298"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8" s="16" t="n"/>
      <c r="L298" s="16" t="inlineStr">
        <is>
          <t>https://attack.mitre.org/techniques/T1546</t>
        </is>
      </c>
    </row>
    <row r="299" ht="169.4" customHeight="1" s="7">
      <c r="A299" s="16" t="inlineStr">
        <is>
          <t>Privilege Escalation</t>
        </is>
      </c>
      <c r="B299" s="16" t="inlineStr">
        <is>
          <t>T1546</t>
        </is>
      </c>
      <c r="C299" s="16" t="inlineStr">
        <is>
          <t>Event Triggered Execution</t>
        </is>
      </c>
      <c r="D299" s="16" t="inlineStr">
        <is>
          <t>T1546.009</t>
        </is>
      </c>
      <c r="E299" s="16" t="inlineStr">
        <is>
          <t>AppCert DLLs</t>
        </is>
      </c>
      <c r="F299" s="16" t="inlineStr">
        <is>
          <t>Partial</t>
        </is>
      </c>
      <c r="G299"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299"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299" s="16" t="inlineStr">
        <is>
          <t>Authentication microservices, Lambda, serverless environments</t>
        </is>
      </c>
      <c r="J299"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299" s="16" t="n"/>
      <c r="L299" s="16" t="inlineStr">
        <is>
          <t>https://attack.mitre.org/techniques/T1546</t>
        </is>
      </c>
    </row>
    <row r="300" ht="169.4" customHeight="1" s="7">
      <c r="A300" s="16" t="inlineStr">
        <is>
          <t>Privilege Escalation</t>
        </is>
      </c>
      <c r="B300" s="16" t="inlineStr">
        <is>
          <t>T1546</t>
        </is>
      </c>
      <c r="C300" s="16" t="inlineStr">
        <is>
          <t>Event Triggered Execution</t>
        </is>
      </c>
      <c r="D300" s="16" t="inlineStr">
        <is>
          <t>T1546.010</t>
        </is>
      </c>
      <c r="E300" s="16" t="inlineStr">
        <is>
          <t>AppInit DLLs</t>
        </is>
      </c>
      <c r="F300" s="16" t="inlineStr">
        <is>
          <t>Partial</t>
        </is>
      </c>
      <c r="G300"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0"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0" s="16" t="inlineStr">
        <is>
          <t>Authentication microservices, Lambda, serverless environments</t>
        </is>
      </c>
      <c r="J300"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0" s="16" t="n"/>
      <c r="L300" s="16" t="inlineStr">
        <is>
          <t>https://attack.mitre.org/techniques/T1546</t>
        </is>
      </c>
    </row>
    <row r="301" ht="169.4" customHeight="1" s="7">
      <c r="A301" s="16" t="inlineStr">
        <is>
          <t>Privilege Escalation</t>
        </is>
      </c>
      <c r="B301" s="16" t="inlineStr">
        <is>
          <t>T1546</t>
        </is>
      </c>
      <c r="C301" s="16" t="inlineStr">
        <is>
          <t>Event Triggered Execution</t>
        </is>
      </c>
      <c r="D301" s="16" t="inlineStr">
        <is>
          <t>T1546.011</t>
        </is>
      </c>
      <c r="E301" s="16" t="inlineStr">
        <is>
          <t>Application Shimming</t>
        </is>
      </c>
      <c r="F301" s="16" t="inlineStr">
        <is>
          <t>Partial</t>
        </is>
      </c>
      <c r="G301"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1"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1" s="16" t="inlineStr">
        <is>
          <t>Authentication microservices, Lambda, serverless environments</t>
        </is>
      </c>
      <c r="J301"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1" s="16" t="n"/>
      <c r="L301" s="16" t="inlineStr">
        <is>
          <t>https://attack.mitre.org/techniques/T1546</t>
        </is>
      </c>
    </row>
    <row r="302" ht="169.4" customHeight="1" s="7">
      <c r="A302" s="16" t="inlineStr">
        <is>
          <t>Privilege Escalation</t>
        </is>
      </c>
      <c r="B302" s="16" t="inlineStr">
        <is>
          <t>T1546</t>
        </is>
      </c>
      <c r="C302" s="16" t="inlineStr">
        <is>
          <t>Event Triggered Execution</t>
        </is>
      </c>
      <c r="D302" s="16" t="inlineStr">
        <is>
          <t>T1546.012</t>
        </is>
      </c>
      <c r="E302" s="16" t="inlineStr">
        <is>
          <t>Image File Execution Options Injection</t>
        </is>
      </c>
      <c r="F302" s="16" t="inlineStr">
        <is>
          <t>Partial</t>
        </is>
      </c>
      <c r="G302"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2"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2" s="16" t="inlineStr">
        <is>
          <t>Lambda/webhook/container functions, etc.</t>
        </is>
      </c>
      <c r="J302"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2" s="16" t="n"/>
      <c r="L302" s="16" t="inlineStr">
        <is>
          <t>https://attack.mitre.org/techniques/T1546</t>
        </is>
      </c>
    </row>
    <row r="303" ht="169.4" customHeight="1" s="7">
      <c r="A303" s="16" t="inlineStr">
        <is>
          <t>Privilege Escalation</t>
        </is>
      </c>
      <c r="B303" s="16" t="inlineStr">
        <is>
          <t>T1546</t>
        </is>
      </c>
      <c r="C303" s="16" t="inlineStr">
        <is>
          <t>Event Triggered Execution</t>
        </is>
      </c>
      <c r="D303" s="16" t="inlineStr">
        <is>
          <t>T1546.013</t>
        </is>
      </c>
      <c r="E303" s="16" t="inlineStr">
        <is>
          <t>PowerShell Profile</t>
        </is>
      </c>
      <c r="F303" s="16" t="inlineStr">
        <is>
          <t>Partial</t>
        </is>
      </c>
      <c r="G303"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3"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3" s="16" t="inlineStr">
        <is>
          <t>Lambda/webhook/container functions, etc.</t>
        </is>
      </c>
      <c r="J303"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3" s="16" t="n"/>
      <c r="L303" s="16" t="inlineStr">
        <is>
          <t>https://attack.mitre.org/techniques/T1546</t>
        </is>
      </c>
    </row>
    <row r="304" ht="169.4" customHeight="1" s="7">
      <c r="A304" s="16" t="inlineStr">
        <is>
          <t>Privilege Escalation</t>
        </is>
      </c>
      <c r="B304" s="16" t="inlineStr">
        <is>
          <t>T1546</t>
        </is>
      </c>
      <c r="C304" s="16" t="inlineStr">
        <is>
          <t>Event Triggered Execution</t>
        </is>
      </c>
      <c r="D304" s="16" t="inlineStr">
        <is>
          <t>T1546.014</t>
        </is>
      </c>
      <c r="E304" s="16" t="inlineStr">
        <is>
          <t>Emond</t>
        </is>
      </c>
      <c r="F304" s="16" t="inlineStr">
        <is>
          <t>Partial</t>
        </is>
      </c>
      <c r="G304"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4"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4" s="16" t="inlineStr">
        <is>
          <t>Lambda/webhook/container functions, etc.</t>
        </is>
      </c>
      <c r="J304"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4" s="16" t="n"/>
      <c r="L304" s="16" t="inlineStr">
        <is>
          <t>https://attack.mitre.org/techniques/T1546</t>
        </is>
      </c>
    </row>
    <row r="305" ht="169.4" customHeight="1" s="7">
      <c r="A305" s="16" t="inlineStr">
        <is>
          <t>Privilege Escalation</t>
        </is>
      </c>
      <c r="B305" s="16" t="inlineStr">
        <is>
          <t>T1546</t>
        </is>
      </c>
      <c r="C305" s="16" t="inlineStr">
        <is>
          <t>Event Triggered Execution</t>
        </is>
      </c>
      <c r="D305" s="16" t="inlineStr">
        <is>
          <t>T1547.015</t>
        </is>
      </c>
      <c r="E305" s="16" t="inlineStr">
        <is>
          <t>Login Items</t>
        </is>
      </c>
      <c r="F305" s="16" t="inlineStr">
        <is>
          <t>Partial</t>
        </is>
      </c>
      <c r="G305"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5"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5" s="16" t="inlineStr">
        <is>
          <t>Lambda/webhook/container functions, etc.</t>
        </is>
      </c>
      <c r="J305"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5" s="16" t="inlineStr">
        <is>
          <t>v17 sub-technique of T1547 (Login Items)</t>
        </is>
      </c>
      <c r="L305" s="16" t="inlineStr">
        <is>
          <t>https://attack.mitre.org/techniques/T1546</t>
        </is>
      </c>
    </row>
    <row r="306" ht="169.4" customHeight="1" s="7">
      <c r="A306" s="16" t="inlineStr">
        <is>
          <t>Privilege Escalation</t>
        </is>
      </c>
      <c r="B306" s="16" t="inlineStr">
        <is>
          <t>T1546</t>
        </is>
      </c>
      <c r="C306" s="16" t="inlineStr">
        <is>
          <t>Event Triggered Execution</t>
        </is>
      </c>
      <c r="D306" s="16" t="inlineStr">
        <is>
          <t>T1546.015</t>
        </is>
      </c>
      <c r="E306" s="16" t="inlineStr">
        <is>
          <t>Component Object Model Hijacking</t>
        </is>
      </c>
      <c r="F306" s="16" t="inlineStr">
        <is>
          <t>Partial</t>
        </is>
      </c>
      <c r="G306"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6"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6" s="16" t="inlineStr">
        <is>
          <t>Detection evasion by manipulating execution logs and deleting event logs</t>
        </is>
      </c>
      <c r="J306"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6" s="16" t="n"/>
      <c r="L306" s="16" t="inlineStr">
        <is>
          <t>https://attack.mitre.org/techniques/T1546</t>
        </is>
      </c>
    </row>
    <row r="307" ht="169.4" customHeight="1" s="7">
      <c r="A307" s="16" t="inlineStr">
        <is>
          <t>Privilege Escalation</t>
        </is>
      </c>
      <c r="B307" s="16" t="inlineStr">
        <is>
          <t>T1546</t>
        </is>
      </c>
      <c r="C307" s="16" t="inlineStr">
        <is>
          <t>Event Triggered Execution</t>
        </is>
      </c>
      <c r="D307" s="16" t="n"/>
      <c r="E307" s="16" t="inlineStr">
        <is>
          <t>Cloud Service Event Triggered Execution</t>
        </is>
      </c>
      <c r="F307" s="16" t="inlineStr">
        <is>
          <t>Partial</t>
        </is>
      </c>
      <c r="G307" s="16" t="inlineStr">
        <is>
          <t>DID systems use back-end functions or cloud workflows that run automatically in response to various events such as login events, VC issuance requests, user DID verification, and trust score changes. If an attacker abuses these to plant malicious triggers or modify existing ones, persistent infiltration of the authentication flow and privilege escalation become possible, so the technique is highly relevant to T1546.
[Structural relevance]
DID Wallet: Medium (event listeners or background scripts can run when VCs are read)
DID Agent Server: High (handlers are registered for events such as login and VC requests)
CredentialStatus API: High (can run automatically via Lambda or cron when a VC's status changes)
On-chain smart contracts: Low (events can be emitted, but automatic execution of external code is restricted)</t>
        </is>
      </c>
      <c r="H307" s="16" t="inlineStr">
        <is>
          <t>1. The DID authentication flow contains trigger events such as VC requests, trust score changes, and arrival of Verifier requests.
2. Lambda functions, webhooks, container jobs, etc. can be executed in response to trigger events; if abused by an attacker, they enable autorun-based backdoors.
3. The structure is similar to cloud-based event monitoring systems (AWS EventBridge, Azure Logic Apps, etc.).</t>
        </is>
      </c>
      <c r="I307" s="16" t="inlineStr">
        <is>
          <t>Detection evasion by manipulating execution logs and deleting event logs</t>
        </is>
      </c>
      <c r="J307" s="16" t="inlineStr">
        <is>
          <t>1. Manage policy registration and change history for automatic functions triggered by key events such as VC requests, status changes, and logins.
2. Apply signature verification and access control when registering cloud-based Lambda functions/webhooks.
3. Introduce integrity verification and static analysis for event listeners and background scripts in users' wallets.
4. Define event execution flows on a whitelist basis so that only approved triggers are allowed.
5. Strengthen audit logging and failure tracking for all event-triggered automatic functions.</t>
        </is>
      </c>
      <c r="K307" s="16" t="inlineStr">
        <is>
          <t>"Cloud Service Event Triggered Execution" is not a v17 sub-technique of T1546; kept as analyzed</t>
        </is>
      </c>
      <c r="L307" s="16" t="inlineStr">
        <is>
          <t>https://attack.mitre.org/techniques/T1546</t>
        </is>
      </c>
    </row>
    <row r="308" ht="158.2" customHeight="1" s="7">
      <c r="A308" s="16" t="inlineStr">
        <is>
          <t>Privilege Escalation</t>
        </is>
      </c>
      <c r="B308" s="16" t="inlineStr">
        <is>
          <t>T1068</t>
        </is>
      </c>
      <c r="C308" s="16" t="inlineStr">
        <is>
          <t>Exploitation for Privilege Escalation</t>
        </is>
      </c>
      <c r="D308" s="16" t="n"/>
      <c r="E308" s="16" t="n"/>
      <c r="F308" s="16" t="inlineStr">
        <is>
          <t>Partial</t>
        </is>
      </c>
      <c r="G308" s="16" t="inlineStr">
        <is>
          <t>DID authentication systems operate in microservice or host environments in which behavior is separated by privilege, such as authentication servers and status verification APIs. If an attacker obtains root or SYSTEM privileges through a vulnerability, they can take over all core functions, including VC forgery, trust configuration changes, and trust score manipulation, so the technique is highly relevant to T1068.
[Structural relevance]
DID Wallet: Low (an ordinary app-level environment, not a target of OS kernel-level vulnerabilities)
DID Agent Server: High (a server containing authentication processing logic; exploitation allows takeover of core logic)
CredentialStatus API: High (obtaining root privileges in a service running inside a container allows manipulation of all status)</t>
        </is>
      </c>
      <c r="H308" s="16" t="inlineStr">
        <is>
          <t>Both operate on privilege isolation in system services or kernel components; the attacker uses vulnerabilities to seize administrator privileges and attempts to control the execution flow; DID systems may also have vulnerabilities in the OS, runtime, and driver layers, which can bypass the policy-based authentication flow.</t>
        </is>
      </c>
      <c r="I308" s="16" t="inlineStr">
        <is>
          <t>DID system</t>
        </is>
      </c>
      <c r="J308" s="16" t="inlineStr">
        <is>
          <t>1. Automate kernel and container host OS patching and restrict kernel module installation.
2. Apply policies so that unsigned drivers or external binaries are not executed inside containers.
3. Fine-grain the access privileges of VC issuance and verification logic so that they cannot be compromised even without root privileges.
4. Monitor driver-loading events (e.g., Sysmon ID 6) in real time to detect attacks such as BYOVD.
5. Apply the least-privilege execution principle to all microservices and periodically audit vulnerable components.</t>
        </is>
      </c>
      <c r="K308" s="16" t="n"/>
      <c r="L308" s="16" t="inlineStr">
        <is>
          <t>https://attack.mitre.org/techniques/T1068</t>
        </is>
      </c>
    </row>
    <row r="309" ht="169.4" customHeight="1" s="7">
      <c r="A309" s="16" t="inlineStr">
        <is>
          <t>Privilege Escalation</t>
        </is>
      </c>
      <c r="B309" s="16" t="inlineStr">
        <is>
          <t>T1574</t>
        </is>
      </c>
      <c r="C309" s="16" t="inlineStr">
        <is>
          <t>Hijack Execution Flow</t>
        </is>
      </c>
      <c r="D309" s="16" t="inlineStr">
        <is>
          <t>T1574.001</t>
        </is>
      </c>
      <c r="E309" s="16" t="inlineStr">
        <is>
          <t>DLL</t>
        </is>
      </c>
      <c r="F309" s="16" t="inlineStr">
        <is>
          <t>Partial</t>
        </is>
      </c>
      <c r="G309"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09"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09" s="16" t="inlineStr">
        <is>
          <t>DID system</t>
        </is>
      </c>
      <c r="J309"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09" s="16" t="inlineStr">
        <is>
          <t>merged into T1574.001 (DLL) in v17</t>
        </is>
      </c>
      <c r="L309" s="16" t="inlineStr">
        <is>
          <t>https://attack.mitre.org/techniques/T1574</t>
        </is>
      </c>
    </row>
    <row r="310" ht="169.4" customHeight="1" s="7">
      <c r="A310" s="16" t="inlineStr">
        <is>
          <t>Privilege Escalation</t>
        </is>
      </c>
      <c r="B310" s="16" t="inlineStr">
        <is>
          <t>T1574</t>
        </is>
      </c>
      <c r="C310" s="16" t="inlineStr">
        <is>
          <t>Hijack Execution Flow</t>
        </is>
      </c>
      <c r="D310" s="16" t="inlineStr">
        <is>
          <t>T1574.004</t>
        </is>
      </c>
      <c r="E310" s="16" t="inlineStr">
        <is>
          <t>Dylib Hijacking</t>
        </is>
      </c>
      <c r="F310" s="16" t="inlineStr">
        <is>
          <t>Partial</t>
        </is>
      </c>
      <c r="G310"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0"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0" s="16" t="inlineStr">
        <is>
          <t>DID system</t>
        </is>
      </c>
      <c r="J310"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0" s="16" t="n"/>
      <c r="L310" s="16" t="inlineStr">
        <is>
          <t>https://attack.mitre.org/techniques/T1574</t>
        </is>
      </c>
    </row>
    <row r="311" ht="169.4" customHeight="1" s="7">
      <c r="A311" s="16" t="inlineStr">
        <is>
          <t>Privilege Escalation</t>
        </is>
      </c>
      <c r="B311" s="16" t="inlineStr">
        <is>
          <t>T1574</t>
        </is>
      </c>
      <c r="C311" s="16" t="inlineStr">
        <is>
          <t>Hijack Execution Flow</t>
        </is>
      </c>
      <c r="D311" s="16" t="inlineStr">
        <is>
          <t>T1574.005</t>
        </is>
      </c>
      <c r="E311" s="16" t="inlineStr">
        <is>
          <t>Executable Installer File Permissions Weakness</t>
        </is>
      </c>
      <c r="F311" s="16" t="inlineStr">
        <is>
          <t>Partial</t>
        </is>
      </c>
      <c r="G311"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1"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1" s="16" t="inlineStr">
        <is>
          <t>Entrypoints, dynamically loaded scripts, and configuration files of authentication API servers</t>
        </is>
      </c>
      <c r="J311"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1" s="16" t="n"/>
      <c r="L311" s="16" t="inlineStr">
        <is>
          <t>https://attack.mitre.org/techniques/T1574</t>
        </is>
      </c>
    </row>
    <row r="312" ht="169.4" customHeight="1" s="7">
      <c r="A312" s="16" t="inlineStr">
        <is>
          <t>Privilege Escalation</t>
        </is>
      </c>
      <c r="B312" s="16" t="inlineStr">
        <is>
          <t>T1574</t>
        </is>
      </c>
      <c r="C312" s="16" t="inlineStr">
        <is>
          <t>Hijack Execution Flow</t>
        </is>
      </c>
      <c r="D312" s="16" t="inlineStr">
        <is>
          <t>T1574.007</t>
        </is>
      </c>
      <c r="E312" s="16" t="inlineStr">
        <is>
          <t>Path Interception by PATH Environment Variable</t>
        </is>
      </c>
      <c r="F312" s="16" t="inlineStr">
        <is>
          <t>Partial</t>
        </is>
      </c>
      <c r="G312"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2"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2" s="16" t="inlineStr">
        <is>
          <t>Entrypoints, dynamically loaded scripts, and configuration files of authentication API servers</t>
        </is>
      </c>
      <c r="J312"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2" s="16" t="n"/>
      <c r="L312" s="16" t="inlineStr">
        <is>
          <t>https://attack.mitre.org/techniques/T1574</t>
        </is>
      </c>
    </row>
    <row r="313" ht="169.4" customHeight="1" s="7">
      <c r="A313" s="16" t="inlineStr">
        <is>
          <t>Privilege Escalation</t>
        </is>
      </c>
      <c r="B313" s="16" t="inlineStr">
        <is>
          <t>T1574</t>
        </is>
      </c>
      <c r="C313" s="16" t="inlineStr">
        <is>
          <t>Hijack Execution Flow</t>
        </is>
      </c>
      <c r="D313" s="16" t="inlineStr">
        <is>
          <t>T1574.008</t>
        </is>
      </c>
      <c r="E313" s="16" t="inlineStr">
        <is>
          <t>Path Interception by Search Order Hijacking</t>
        </is>
      </c>
      <c r="F313" s="16" t="inlineStr">
        <is>
          <t>Partial</t>
        </is>
      </c>
      <c r="G313"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3"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3" s="16" t="inlineStr">
        <is>
          <t>Container ENTRYPOINT changes; hooking of required/imported modules</t>
        </is>
      </c>
      <c r="J313"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3" s="16" t="n"/>
      <c r="L313" s="16" t="inlineStr">
        <is>
          <t>https://attack.mitre.org/techniques/T1574</t>
        </is>
      </c>
    </row>
    <row r="314" ht="169.4" customHeight="1" s="7">
      <c r="A314" s="16" t="inlineStr">
        <is>
          <t>Privilege Escalation</t>
        </is>
      </c>
      <c r="B314" s="16" t="inlineStr">
        <is>
          <t>T1574</t>
        </is>
      </c>
      <c r="C314" s="16" t="inlineStr">
        <is>
          <t>Hijack Execution Flow</t>
        </is>
      </c>
      <c r="D314" s="16" t="inlineStr">
        <is>
          <t>T1574.009</t>
        </is>
      </c>
      <c r="E314" s="16" t="inlineStr">
        <is>
          <t>Path Interception by Unquoted Path</t>
        </is>
      </c>
      <c r="F314" s="16" t="inlineStr">
        <is>
          <t>Partial</t>
        </is>
      </c>
      <c r="G314"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4"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4" s="16" t="inlineStr">
        <is>
          <t>Container ENTRYPOINT changes; hooking of required/imported modules</t>
        </is>
      </c>
      <c r="J314"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4" s="16" t="n"/>
      <c r="L314" s="16" t="inlineStr">
        <is>
          <t>https://attack.mitre.org/techniques/T1574</t>
        </is>
      </c>
    </row>
    <row r="315" ht="169.4" customHeight="1" s="7">
      <c r="A315" s="16" t="inlineStr">
        <is>
          <t>Privilege Escalation</t>
        </is>
      </c>
      <c r="B315" s="16" t="inlineStr">
        <is>
          <t>T1574</t>
        </is>
      </c>
      <c r="C315" s="16" t="inlineStr">
        <is>
          <t>Hijack Execution Flow</t>
        </is>
      </c>
      <c r="D315" s="16" t="inlineStr">
        <is>
          <t>T1547.009</t>
        </is>
      </c>
      <c r="E315" s="16" t="inlineStr">
        <is>
          <t>Shortcut Modification</t>
        </is>
      </c>
      <c r="F315" s="16" t="inlineStr">
        <is>
          <t>Partial</t>
        </is>
      </c>
      <c r="G315"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5"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5" s="16" t="inlineStr">
        <is>
          <t>Container ENTRYPOINT changes; hooking of required/imported modules</t>
        </is>
      </c>
      <c r="J315"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5" s="16" t="inlineStr">
        <is>
          <t>v17 sub-technique of T1547</t>
        </is>
      </c>
      <c r="L315" s="16" t="inlineStr">
        <is>
          <t>https://attack.mitre.org/techniques/T1574</t>
        </is>
      </c>
    </row>
    <row r="316" ht="169.4" customHeight="1" s="7">
      <c r="A316" s="16" t="inlineStr">
        <is>
          <t>Privilege Escalation</t>
        </is>
      </c>
      <c r="B316" s="16" t="inlineStr">
        <is>
          <t>T1574</t>
        </is>
      </c>
      <c r="C316" s="16" t="inlineStr">
        <is>
          <t>Hijack Execution Flow</t>
        </is>
      </c>
      <c r="D316" s="16" t="inlineStr">
        <is>
          <t>T1574.010</t>
        </is>
      </c>
      <c r="E316" s="16" t="inlineStr">
        <is>
          <t>Services File Permissions Weakness</t>
        </is>
      </c>
      <c r="F316" s="16" t="inlineStr">
        <is>
          <t>Partial</t>
        </is>
      </c>
      <c r="G316"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6"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6" s="16" t="inlineStr">
        <is>
          <t>Tracking of configuration files, startup scripts, and service PID execution is required</t>
        </is>
      </c>
      <c r="J316"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6" s="16" t="n"/>
      <c r="L316" s="16" t="inlineStr">
        <is>
          <t>https://attack.mitre.org/techniques/T1574</t>
        </is>
      </c>
    </row>
    <row r="317" ht="169.4" customHeight="1" s="7">
      <c r="A317" s="16" t="inlineStr">
        <is>
          <t>Privilege Escalation</t>
        </is>
      </c>
      <c r="B317" s="16" t="inlineStr">
        <is>
          <t>T1574</t>
        </is>
      </c>
      <c r="C317" s="16" t="inlineStr">
        <is>
          <t>Hijack Execution Flow</t>
        </is>
      </c>
      <c r="D317" s="16" t="inlineStr">
        <is>
          <t>T1574.011</t>
        </is>
      </c>
      <c r="E317" s="16" t="inlineStr">
        <is>
          <t>Services Registry Permissions Weakness</t>
        </is>
      </c>
      <c r="F317" s="16" t="inlineStr">
        <is>
          <t>Partial</t>
        </is>
      </c>
      <c r="G317"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7"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7" s="16" t="inlineStr">
        <is>
          <t>Tracking of configuration files, startup scripts, and service PID execution is required</t>
        </is>
      </c>
      <c r="J317"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7" s="16" t="n"/>
      <c r="L317" s="16" t="inlineStr">
        <is>
          <t>https://attack.mitre.org/techniques/T1574</t>
        </is>
      </c>
    </row>
    <row r="318" ht="169.4" customHeight="1" s="7">
      <c r="A318" s="16" t="inlineStr">
        <is>
          <t>Privilege Escalation</t>
        </is>
      </c>
      <c r="B318" s="16" t="inlineStr">
        <is>
          <t>T1574</t>
        </is>
      </c>
      <c r="C318" s="16" t="inlineStr">
        <is>
          <t>Hijack Execution Flow</t>
        </is>
      </c>
      <c r="D318" s="16" t="inlineStr">
        <is>
          <t>T1574.012</t>
        </is>
      </c>
      <c r="E318" s="16" t="inlineStr">
        <is>
          <t>COR_PROFILER</t>
        </is>
      </c>
      <c r="F318" s="16" t="inlineStr">
        <is>
          <t>Partial</t>
        </is>
      </c>
      <c r="G318"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8"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8" s="16" t="inlineStr">
        <is>
          <t>Tracking of configuration files, startup scripts, and service PID execution is required</t>
        </is>
      </c>
      <c r="J318"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8" s="16" t="n"/>
      <c r="L318" s="16" t="inlineStr">
        <is>
          <t>https://attack.mitre.org/techniques/T1574</t>
        </is>
      </c>
    </row>
    <row r="319" ht="169.4" customHeight="1" s="7">
      <c r="A319" s="16" t="inlineStr">
        <is>
          <t>Privilege Escalation</t>
        </is>
      </c>
      <c r="B319" s="16" t="inlineStr">
        <is>
          <t>T1574</t>
        </is>
      </c>
      <c r="C319" s="16" t="inlineStr">
        <is>
          <t>Hijack Execution Flow</t>
        </is>
      </c>
      <c r="D319" s="16" t="inlineStr">
        <is>
          <t>T1547.014</t>
        </is>
      </c>
      <c r="E319" s="16" t="inlineStr">
        <is>
          <t>Active Setup</t>
        </is>
      </c>
      <c r="F319" s="16" t="inlineStr">
        <is>
          <t>Partial</t>
        </is>
      </c>
      <c r="G319"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19"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19" s="16" t="inlineStr">
        <is>
          <t>The entire authentication flow and all VC processing logic can be hooked</t>
        </is>
      </c>
      <c r="J319"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19" s="16" t="inlineStr">
        <is>
          <t>v17 sub-technique of T1547</t>
        </is>
      </c>
      <c r="L319" s="16" t="inlineStr">
        <is>
          <t>https://attack.mitre.org/techniques/T1574</t>
        </is>
      </c>
    </row>
    <row r="320" ht="169.4" customHeight="1" s="7">
      <c r="A320" s="16" t="inlineStr">
        <is>
          <t>Privilege Escalation</t>
        </is>
      </c>
      <c r="B320" s="16" t="inlineStr">
        <is>
          <t>T1574</t>
        </is>
      </c>
      <c r="C320" s="16" t="inlineStr">
        <is>
          <t>Hijack Execution Flow</t>
        </is>
      </c>
      <c r="D320" s="16" t="n"/>
      <c r="E320" s="16" t="inlineStr">
        <is>
          <t>Application DLL Search Order Hijacking</t>
        </is>
      </c>
      <c r="F320" s="16" t="inlineStr">
        <is>
          <t>Partial</t>
        </is>
      </c>
      <c r="G320" s="16" t="inlineStr">
        <is>
          <t>DID systems consist of microservice-style authentication servers or agents built on various runtimes such as Node.js, Python, and Go; in these environments, changes to library loading, execution path settings, or configuration file paths enable execution of malicious payloads. In addition, the authentication flow can be intercepted by changing the ENTRYPOINT or service configuration at container execution, or by replacing dynamically loaded modules, so the technique is highly relevant to T1574.
[Structural relevance]
DID Wallet: Medium (vulnerabilities may exist if the app has an internal library-loading structure)
DID Agent Server: High (the execution flow can be intercepted at the DLL/module level on runtimes such as Node.js/Python)
CredentialStatus API: High (risky if service startup scripts or dynamically loaded modules exist)</t>
        </is>
      </c>
      <c r="H320" s="16" t="inlineStr">
        <is>
          <t>1. DID authentication systems also depend on library loading paths, execution scripts, and the locations of service executables.
2. If an attacker hijacks the execution flow and injects malicious code, the user may perceive it as normal operation.
3. Environments with many external dependencies at service runtime (e.g., Node.js) are particularly vulnerable to execution flow hijacking.</t>
        </is>
      </c>
      <c r="I320" s="16" t="inlineStr">
        <is>
          <t>The entire authentication flow and all VC processing logic can be hooked</t>
        </is>
      </c>
      <c r="J320" s="16" t="inlineStr">
        <is>
          <t>1. Check the integrity of ENTRYPOINT and CMD instructions of containers and microservices.
2. Pin the paths of dynamically loaded modules in Node.js, Python, etc., and restrict loading from external directories.
3. Version and verify service configuration files (json, yaml, etc.) using SHA256 hashes.
4. Remove unnecessary write permissions in execution paths and apply permission-based access control.
5. Monitor abnormal execution flows through container execution logs, service execution tree tracking, etc.</t>
        </is>
      </c>
      <c r="K320" s="16" t="inlineStr">
        <is>
          <t>"Application DLL Search Order Hijacking" is not a v17 sub-technique of T1574; kept as analyzed</t>
        </is>
      </c>
      <c r="L320" s="16" t="inlineStr">
        <is>
          <t>https://attack.mitre.org/techniques/T1574</t>
        </is>
      </c>
    </row>
    <row r="321" ht="57.45" customHeight="1" s="7">
      <c r="A321" s="16" t="inlineStr">
        <is>
          <t>Privilege Escalation</t>
        </is>
      </c>
      <c r="B321" s="16" t="inlineStr">
        <is>
          <t>T1055</t>
        </is>
      </c>
      <c r="C321" s="16" t="inlineStr">
        <is>
          <t>Process Injection</t>
        </is>
      </c>
      <c r="D321" s="16" t="inlineStr">
        <is>
          <t>T1055.001</t>
        </is>
      </c>
      <c r="E321" s="16" t="inlineStr">
        <is>
          <t>Dynamic-link Library Injection</t>
        </is>
      </c>
      <c r="F321" s="16" t="inlineStr">
        <is>
          <t>No</t>
        </is>
      </c>
      <c r="G321"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1" s="16" t="inlineStr">
        <is>
          <t>-</t>
        </is>
      </c>
      <c r="I321" s="16" t="inlineStr">
        <is>
          <t>DID system</t>
        </is>
      </c>
      <c r="J321" s="16" t="inlineStr">
        <is>
          <t>-</t>
        </is>
      </c>
      <c r="K321" s="16" t="n"/>
      <c r="L321" s="16" t="inlineStr">
        <is>
          <t>https://attack.mitre.org/techniques/T1055</t>
        </is>
      </c>
    </row>
    <row r="322" ht="57.45" customHeight="1" s="7">
      <c r="A322" s="16" t="inlineStr">
        <is>
          <t>Privilege Escalation</t>
        </is>
      </c>
      <c r="B322" s="16" t="inlineStr">
        <is>
          <t>T1055</t>
        </is>
      </c>
      <c r="C322" s="16" t="inlineStr">
        <is>
          <t>Process Injection</t>
        </is>
      </c>
      <c r="D322" s="16" t="inlineStr">
        <is>
          <t>T1055.002</t>
        </is>
      </c>
      <c r="E322" s="16" t="inlineStr">
        <is>
          <t>Portable Executable Injection</t>
        </is>
      </c>
      <c r="F322" s="16" t="inlineStr">
        <is>
          <t>No</t>
        </is>
      </c>
      <c r="G322"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2" s="16" t="inlineStr">
        <is>
          <t>-</t>
        </is>
      </c>
      <c r="I322" s="16" t="inlineStr">
        <is>
          <t>DID system</t>
        </is>
      </c>
      <c r="J322" s="16" t="inlineStr">
        <is>
          <t>-</t>
        </is>
      </c>
      <c r="K322" s="16" t="n"/>
      <c r="L322" s="16" t="inlineStr">
        <is>
          <t>https://attack.mitre.org/techniques/T1055</t>
        </is>
      </c>
    </row>
    <row r="323" ht="57.45" customHeight="1" s="7">
      <c r="A323" s="16" t="inlineStr">
        <is>
          <t>Privilege Escalation</t>
        </is>
      </c>
      <c r="B323" s="16" t="inlineStr">
        <is>
          <t>T1055</t>
        </is>
      </c>
      <c r="C323" s="16" t="inlineStr">
        <is>
          <t>Process Injection</t>
        </is>
      </c>
      <c r="D323" s="16" t="inlineStr">
        <is>
          <t>T1055.003</t>
        </is>
      </c>
      <c r="E323" s="16" t="inlineStr">
        <is>
          <t>Thread Execution Hijacking</t>
        </is>
      </c>
      <c r="F323" s="16" t="inlineStr">
        <is>
          <t>No</t>
        </is>
      </c>
      <c r="G323"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3" s="16" t="inlineStr">
        <is>
          <t>-</t>
        </is>
      </c>
      <c r="I323" s="16" t="inlineStr">
        <is>
          <t>Node/Python runtimes running in the authentication back end</t>
        </is>
      </c>
      <c r="J323" s="16" t="inlineStr">
        <is>
          <t>-</t>
        </is>
      </c>
      <c r="K323" s="16" t="n"/>
      <c r="L323" s="16" t="inlineStr">
        <is>
          <t>https://attack.mitre.org/techniques/T1055</t>
        </is>
      </c>
    </row>
    <row r="324" ht="57.45" customHeight="1" s="7">
      <c r="A324" s="16" t="inlineStr">
        <is>
          <t>Privilege Escalation</t>
        </is>
      </c>
      <c r="B324" s="16" t="inlineStr">
        <is>
          <t>T1055</t>
        </is>
      </c>
      <c r="C324" s="16" t="inlineStr">
        <is>
          <t>Process Injection</t>
        </is>
      </c>
      <c r="D324" s="16" t="inlineStr">
        <is>
          <t>T1055.004</t>
        </is>
      </c>
      <c r="E324" s="16" t="inlineStr">
        <is>
          <t>Asynchronous Procedure Call</t>
        </is>
      </c>
      <c r="F324" s="16" t="inlineStr">
        <is>
          <t>No</t>
        </is>
      </c>
      <c r="G324"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4" s="16" t="inlineStr">
        <is>
          <t>-</t>
        </is>
      </c>
      <c r="I324" s="16" t="inlineStr">
        <is>
          <t>Node/Python runtimes running in the authentication back end</t>
        </is>
      </c>
      <c r="J324" s="16" t="inlineStr">
        <is>
          <t>-</t>
        </is>
      </c>
      <c r="K324" s="16" t="n"/>
      <c r="L324" s="16" t="inlineStr">
        <is>
          <t>https://attack.mitre.org/techniques/T1055</t>
        </is>
      </c>
    </row>
    <row r="325" ht="57.45" customHeight="1" s="7">
      <c r="A325" s="16" t="inlineStr">
        <is>
          <t>Privilege Escalation</t>
        </is>
      </c>
      <c r="B325" s="16" t="inlineStr">
        <is>
          <t>T1055</t>
        </is>
      </c>
      <c r="C325" s="16" t="inlineStr">
        <is>
          <t>Process Injection</t>
        </is>
      </c>
      <c r="D325" s="16" t="inlineStr">
        <is>
          <t>T1055.005</t>
        </is>
      </c>
      <c r="E325" s="16" t="inlineStr">
        <is>
          <t>Thread Local Storage</t>
        </is>
      </c>
      <c r="F325" s="16" t="inlineStr">
        <is>
          <t>No</t>
        </is>
      </c>
      <c r="G325"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5" s="16" t="inlineStr">
        <is>
          <t>-</t>
        </is>
      </c>
      <c r="I325" s="16" t="inlineStr">
        <is>
          <t>Access to container internals via Linux ptrace, gdb, LD_PRELOAD, etc.</t>
        </is>
      </c>
      <c r="J325" s="16" t="inlineStr">
        <is>
          <t>-</t>
        </is>
      </c>
      <c r="K325" s="16" t="n"/>
      <c r="L325" s="16" t="inlineStr">
        <is>
          <t>https://attack.mitre.org/techniques/T1055</t>
        </is>
      </c>
    </row>
    <row r="326" ht="57.45" customHeight="1" s="7">
      <c r="A326" s="16" t="inlineStr">
        <is>
          <t>Privilege Escalation</t>
        </is>
      </c>
      <c r="B326" s="16" t="inlineStr">
        <is>
          <t>T1055</t>
        </is>
      </c>
      <c r="C326" s="16" t="inlineStr">
        <is>
          <t>Process Injection</t>
        </is>
      </c>
      <c r="D326" s="16" t="inlineStr">
        <is>
          <t>T1055.008</t>
        </is>
      </c>
      <c r="E326" s="16" t="inlineStr">
        <is>
          <t>Ptrace System Calls</t>
        </is>
      </c>
      <c r="F326" s="16" t="inlineStr">
        <is>
          <t>No</t>
        </is>
      </c>
      <c r="G326"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6" s="16" t="inlineStr">
        <is>
          <t>-</t>
        </is>
      </c>
      <c r="I326" s="16" t="inlineStr">
        <is>
          <t>Access to container internals via Linux ptrace, gdb, LD_PRELOAD, etc.</t>
        </is>
      </c>
      <c r="J326" s="16" t="inlineStr">
        <is>
          <t>-</t>
        </is>
      </c>
      <c r="K326" s="16" t="n"/>
      <c r="L326" s="16" t="inlineStr">
        <is>
          <t>https://attack.mitre.org/techniques/T1055</t>
        </is>
      </c>
    </row>
    <row r="327" ht="57.45" customHeight="1" s="7">
      <c r="A327" s="16" t="inlineStr">
        <is>
          <t>Privilege Escalation</t>
        </is>
      </c>
      <c r="B327" s="16" t="inlineStr">
        <is>
          <t>T1055</t>
        </is>
      </c>
      <c r="C327" s="16" t="inlineStr">
        <is>
          <t>Process Injection</t>
        </is>
      </c>
      <c r="D327" s="16" t="inlineStr">
        <is>
          <t>T1055.009</t>
        </is>
      </c>
      <c r="E327" s="16" t="inlineStr">
        <is>
          <t>Proc Memory</t>
        </is>
      </c>
      <c r="F327" s="16" t="inlineStr">
        <is>
          <t>No</t>
        </is>
      </c>
      <c r="G327"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7" s="16" t="inlineStr">
        <is>
          <t>-</t>
        </is>
      </c>
      <c r="I327" s="16" t="inlineStr">
        <is>
          <t>Access to container internals via Linux ptrace, gdb, LD_PRELOAD, etc.</t>
        </is>
      </c>
      <c r="J327" s="16" t="inlineStr">
        <is>
          <t>-</t>
        </is>
      </c>
      <c r="K327" s="16" t="n"/>
      <c r="L327" s="16" t="inlineStr">
        <is>
          <t>https://attack.mitre.org/techniques/T1055</t>
        </is>
      </c>
    </row>
    <row r="328" ht="57.45" customHeight="1" s="7">
      <c r="A328" s="16" t="inlineStr">
        <is>
          <t>Privilege Escalation</t>
        </is>
      </c>
      <c r="B328" s="16" t="inlineStr">
        <is>
          <t>T1055</t>
        </is>
      </c>
      <c r="C328" s="16" t="inlineStr">
        <is>
          <t>Process Injection</t>
        </is>
      </c>
      <c r="D328" s="16" t="inlineStr">
        <is>
          <t>T1055.011</t>
        </is>
      </c>
      <c r="E328" s="16" t="inlineStr">
        <is>
          <t>Extra Window Memory Injection</t>
        </is>
      </c>
      <c r="F328" s="16" t="inlineStr">
        <is>
          <t>No</t>
        </is>
      </c>
      <c r="G328"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8" s="16" t="inlineStr">
        <is>
          <t>-</t>
        </is>
      </c>
      <c r="I328" s="16" t="inlineStr">
        <is>
          <t>Hooking of the VC processing flow, status manipulation, backdoor execution, etc.</t>
        </is>
      </c>
      <c r="J328" s="16" t="inlineStr">
        <is>
          <t>-</t>
        </is>
      </c>
      <c r="K328" s="16" t="n"/>
      <c r="L328" s="16" t="inlineStr">
        <is>
          <t>https://attack.mitre.org/techniques/T1055</t>
        </is>
      </c>
    </row>
    <row r="329" ht="57.45" customHeight="1" s="7">
      <c r="A329" s="16" t="inlineStr">
        <is>
          <t>Privilege Escalation</t>
        </is>
      </c>
      <c r="B329" s="16" t="inlineStr">
        <is>
          <t>T1055</t>
        </is>
      </c>
      <c r="C329" s="16" t="inlineStr">
        <is>
          <t>Process Injection</t>
        </is>
      </c>
      <c r="D329" s="16" t="inlineStr">
        <is>
          <t>T1055.012</t>
        </is>
      </c>
      <c r="E329" s="16" t="inlineStr">
        <is>
          <t>Process Hollowing</t>
        </is>
      </c>
      <c r="F329" s="16" t="inlineStr">
        <is>
          <t>No</t>
        </is>
      </c>
      <c r="G329"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29" s="16" t="inlineStr">
        <is>
          <t>-</t>
        </is>
      </c>
      <c r="I329" s="16" t="inlineStr">
        <is>
          <t>Hooking of the VC processing flow, status manipulation, backdoor execution, etc.</t>
        </is>
      </c>
      <c r="J329" s="16" t="inlineStr">
        <is>
          <t>-</t>
        </is>
      </c>
      <c r="K329" s="16" t="n"/>
      <c r="L329" s="16" t="inlineStr">
        <is>
          <t>https://attack.mitre.org/techniques/T1055</t>
        </is>
      </c>
    </row>
    <row r="330" ht="57.45" customHeight="1" s="7">
      <c r="A330" s="16" t="inlineStr">
        <is>
          <t>Privilege Escalation</t>
        </is>
      </c>
      <c r="B330" s="16" t="inlineStr">
        <is>
          <t>T1055</t>
        </is>
      </c>
      <c r="C330" s="16" t="inlineStr">
        <is>
          <t>Process Injection</t>
        </is>
      </c>
      <c r="D330" s="16" t="inlineStr">
        <is>
          <t>T1055.013</t>
        </is>
      </c>
      <c r="E330" s="16" t="inlineStr">
        <is>
          <t>Process Doppelgänging</t>
        </is>
      </c>
      <c r="F330" s="16" t="inlineStr">
        <is>
          <t>No</t>
        </is>
      </c>
      <c r="G330"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30" s="16" t="inlineStr">
        <is>
          <t>-</t>
        </is>
      </c>
      <c r="I330" s="16" t="inlineStr">
        <is>
          <t>Hooking of the VC processing flow, status manipulation, backdoor execution, etc.</t>
        </is>
      </c>
      <c r="J330" s="16" t="inlineStr">
        <is>
          <t>-</t>
        </is>
      </c>
      <c r="K330" s="16" t="n"/>
      <c r="L330" s="16" t="inlineStr">
        <is>
          <t>https://attack.mitre.org/techniques/T1055</t>
        </is>
      </c>
    </row>
    <row r="331" ht="57.45" customHeight="1" s="7">
      <c r="A331" s="16" t="inlineStr">
        <is>
          <t>Privilege Escalation</t>
        </is>
      </c>
      <c r="B331" s="16" t="inlineStr">
        <is>
          <t>T1055</t>
        </is>
      </c>
      <c r="C331" s="16" t="inlineStr">
        <is>
          <t>Process Injection</t>
        </is>
      </c>
      <c r="D331" s="16" t="inlineStr">
        <is>
          <t>T1055.014</t>
        </is>
      </c>
      <c r="E331" s="16" t="inlineStr">
        <is>
          <t>VDSO Hijacking</t>
        </is>
      </c>
      <c r="F331" s="16" t="inlineStr">
        <is>
          <t>No</t>
        </is>
      </c>
      <c r="G331"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31" s="16" t="inlineStr">
        <is>
          <t>-</t>
        </is>
      </c>
      <c r="I331" s="16" t="inlineStr">
        <is>
          <t>Tracking of abnormal PIDs within containers and detection of process-tree anomalies are required</t>
        </is>
      </c>
      <c r="J331" s="16" t="inlineStr">
        <is>
          <t>-</t>
        </is>
      </c>
      <c r="K331" s="16" t="n"/>
      <c r="L331" s="16" t="inlineStr">
        <is>
          <t>https://attack.mitre.org/techniques/T1055</t>
        </is>
      </c>
    </row>
    <row r="332" ht="57.45" customHeight="1" s="7">
      <c r="A332" s="16" t="inlineStr">
        <is>
          <t>Privilege Escalation</t>
        </is>
      </c>
      <c r="B332" s="16" t="inlineStr">
        <is>
          <t>T1055</t>
        </is>
      </c>
      <c r="C332" s="16" t="inlineStr">
        <is>
          <t>Process Injection</t>
        </is>
      </c>
      <c r="D332" s="16" t="inlineStr">
        <is>
          <t>T1055.015</t>
        </is>
      </c>
      <c r="E332" s="16" t="inlineStr">
        <is>
          <t>ListPlanting</t>
        </is>
      </c>
      <c r="F332" s="16" t="inlineStr">
        <is>
          <t>No</t>
        </is>
      </c>
      <c r="G332" s="16" t="inlineStr">
        <is>
          <t>Process Injection is OS-level memory injection between processes, and the container isolation structure structurally blocks ptrace and similar operations between running processes; it is structurally impossible when rootless mode and AppArmor/seccomp are applied; the LD_PRELOAD example fits T1574 (Hijack Execution Flow) better than injection.</t>
        </is>
      </c>
      <c r="H332" s="16" t="inlineStr">
        <is>
          <t>-</t>
        </is>
      </c>
      <c r="I332" s="16" t="inlineStr">
        <is>
          <t>Tracking of abnormal PIDs within containers and detection of process-tree anomalies are required</t>
        </is>
      </c>
      <c r="J332" s="16" t="inlineStr">
        <is>
          <t>-</t>
        </is>
      </c>
      <c r="K332" s="16" t="n"/>
      <c r="L332" s="16" t="inlineStr">
        <is>
          <t>https://attack.mitre.org/techniques/T1055</t>
        </is>
      </c>
    </row>
    <row r="333" ht="169.4" customHeight="1" s="7">
      <c r="A333" s="16" t="inlineStr">
        <is>
          <t>Privilege Escalation</t>
        </is>
      </c>
      <c r="B333" s="16" t="inlineStr">
        <is>
          <t>T1053</t>
        </is>
      </c>
      <c r="C333" s="16" t="inlineStr">
        <is>
          <t>Scheduled Task/Job</t>
        </is>
      </c>
      <c r="D333" s="16" t="inlineStr">
        <is>
          <t>T1053.002</t>
        </is>
      </c>
      <c r="E333" s="16" t="inlineStr">
        <is>
          <t>At</t>
        </is>
      </c>
      <c r="F333" s="16" t="inlineStr">
        <is>
          <t>Partial</t>
        </is>
      </c>
      <c r="G333" s="16" t="inlineStr">
        <is>
          <t>DID systems often do not run on OS-based schedulers (cron, schtasks, etc.), but when container-based authentication microservices run in Kubernetes or Docker environments, execution triggers using the Job/CronJob concept may exist. Authentication-related functions such as VC issuance or status verification are sometimes executed automatically at scheduled times or periodically. In particular, Container Orchestration Job (T1053.007) is used for automated batches of authentication logic and event-log processing tasks, and can become a schedule-based threat if abused.
[Structural relevance]
VC issuer (containerized): Medium (Python, Node.js (K8s CronJob-based))
Credential Status API: Medium (Linux systemd timer, Docker/cron)
DID Agent: Low (mainly manually triggered)
DID Wallet (app): Low (invoked directly by the user)</t>
        </is>
      </c>
      <c r="H333" s="16" t="inlineStr">
        <is>
          <t>1. Both sides can automate designated tasks through periodic execution mechanisms.
2. Authenticated role- or privilege-based access control is essential for task execution.
3. Kubernetes Jobs, CronJobs, Linux systemd timers, etc. can be abused by attackers as disguised execution triggers.</t>
        </is>
      </c>
      <c r="I333" s="16" t="inlineStr">
        <is>
          <t>DID system</t>
        </is>
      </c>
      <c r="J333" s="16" t="inlineStr">
        <is>
          <t>1. Auditing of execution history and integrity checks are needed for Kubernetes CronJobs and Jobs.
2. Establish a policy that sensitive authentication functions (e.g., VC issuance, status verification) cannot be registered outside a predefined schedule whitelist.
3. In GitOps or CI/CD-based deployments, introduce notification and verification when schedule-related CRDs/Helm charts change.
4. If authentication functions run automatically on a schedule, minimizing IAM policies and container execution account privileges is mandatory.</t>
        </is>
      </c>
      <c r="K333" s="16" t="n"/>
      <c r="L333" s="16" t="inlineStr">
        <is>
          <t>https://attack.mitre.org/techniques/T1053</t>
        </is>
      </c>
    </row>
    <row r="334" ht="169.4" customHeight="1" s="7">
      <c r="A334" s="16" t="inlineStr">
        <is>
          <t>Privilege Escalation</t>
        </is>
      </c>
      <c r="B334" s="16" t="inlineStr">
        <is>
          <t>T1053</t>
        </is>
      </c>
      <c r="C334" s="16" t="inlineStr">
        <is>
          <t>Scheduled Task/Job</t>
        </is>
      </c>
      <c r="D334" s="16" t="inlineStr">
        <is>
          <t>T1053.003</t>
        </is>
      </c>
      <c r="E334" s="16" t="inlineStr">
        <is>
          <t>Cron</t>
        </is>
      </c>
      <c r="F334" s="16" t="inlineStr">
        <is>
          <t>Partial</t>
        </is>
      </c>
      <c r="G334" s="16" t="inlineStr">
        <is>
          <t>DID systems often do not run on OS-based schedulers (cron, schtasks, etc.), but when container-based authentication microservices run in Kubernetes or Docker environments, execution triggers using the Job/CronJob concept may exist. Authentication-related functions such as VC issuance or status verification are sometimes executed automatically at scheduled times or periodically. In particular, Container Orchestration Job (T1053.007) is used for automated batches of authentication logic and event-log processing tasks, and can become a schedule-based threat if abused.
[Structural relevance]
VC issuer (containerized): Medium (Python, Node.js (K8s CronJob-based))
Credential Status API: Medium (Linux systemd timer, Docker/cron)
DID Agent: Low (mainly manually triggered)
DID Wallet (app): Low (invoked directly by the user)</t>
        </is>
      </c>
      <c r="H334" s="16" t="inlineStr">
        <is>
          <t>1. Both sides can automate designated tasks through periodic execution mechanisms.
2. Authenticated role- or privilege-based access control is essential for task execution.
3. Kubernetes Jobs, CronJobs, Linux systemd timers, etc. can be abused by attackers as disguised execution triggers.</t>
        </is>
      </c>
      <c r="I334" s="16" t="inlineStr">
        <is>
          <t>Jobs inside microservices or log-processing schedules</t>
        </is>
      </c>
      <c r="J334" s="16" t="inlineStr">
        <is>
          <t>1. Auditing of execution history and integrity checks are needed for Kubernetes CronJobs and Jobs.
2. Establish a policy that sensitive authentication functions (e.g., VC issuance, status verification) cannot be registered outside a predefined schedule whitelist.
3. In GitOps or CI/CD-based deployments, introduce notification and verification when schedule-related CRDs/Helm charts change.
4. If authentication functions run automatically on a schedule, minimizing IAM policies and container execution account privileges is mandatory.</t>
        </is>
      </c>
      <c r="K334" s="16" t="n"/>
      <c r="L334" s="16" t="inlineStr">
        <is>
          <t>https://attack.mitre.org/techniques/T1053</t>
        </is>
      </c>
    </row>
    <row r="335" ht="169.4" customHeight="1" s="7">
      <c r="A335" s="16" t="inlineStr">
        <is>
          <t>Privilege Escalation</t>
        </is>
      </c>
      <c r="B335" s="16" t="inlineStr">
        <is>
          <t>T1053</t>
        </is>
      </c>
      <c r="C335" s="16" t="inlineStr">
        <is>
          <t>Scheduled Task/Job</t>
        </is>
      </c>
      <c r="D335" s="16" t="inlineStr">
        <is>
          <t>T1053.005</t>
        </is>
      </c>
      <c r="E335" s="16" t="inlineStr">
        <is>
          <t>Scheduled Task</t>
        </is>
      </c>
      <c r="F335" s="16" t="inlineStr">
        <is>
          <t>Partial</t>
        </is>
      </c>
      <c r="G335" s="16" t="inlineStr">
        <is>
          <t>DID systems often do not run on OS-based schedulers (cron, schtasks, etc.), but when container-based authentication microservices run in Kubernetes or Docker environments, execution triggers using the Job/CronJob concept may exist. Authentication-related functions such as VC issuance or status verification are sometimes executed automatically at scheduled times or periodically. In particular, Container Orchestration Job (T1053.007) is used for automated batches of authentication logic and event-log processing tasks, and can become a schedule-based threat if abused.
[Structural relevance]
VC issuer (containerized): Medium (Python, Node.js (K8s CronJob-based))
Credential Status API: Medium (Linux systemd timer, Docker/cron)
DID Agent: Low (mainly manually triggered)
DID Wallet (app): Low (invoked directly by the user)</t>
        </is>
      </c>
      <c r="H335" s="16" t="inlineStr">
        <is>
          <t>1. Both sides can automate designated tasks through periodic execution mechanisms.
2. Authenticated role- or privilege-based access control is essential for task execution.
3. Kubernetes Jobs, CronJobs, Linux systemd timers, etc. can be abused by attackers as disguised execution triggers.</t>
        </is>
      </c>
      <c r="I335" s="16" t="inlineStr">
        <is>
          <t>Jobs/timers or API callers within the container execution environment</t>
        </is>
      </c>
      <c r="J335" s="16" t="inlineStr">
        <is>
          <t>1. Auditing of execution history and integrity checks are needed for Kubernetes CronJobs and Jobs.
2. Establish a policy that sensitive authentication functions (e.g., VC issuance, status verification) cannot be registered outside a predefined schedule whitelist.
3. In GitOps or CI/CD-based deployments, introduce notification and verification when schedule-related CRDs/Helm charts change.
4. If authentication functions run automatically on a schedule, minimizing IAM policies and container execution account privileges is mandatory.</t>
        </is>
      </c>
      <c r="K335" s="16" t="n"/>
      <c r="L335" s="16" t="inlineStr">
        <is>
          <t>https://attack.mitre.org/techniques/T1053</t>
        </is>
      </c>
    </row>
    <row r="336" ht="169.4" customHeight="1" s="7">
      <c r="A336" s="16" t="inlineStr">
        <is>
          <t>Privilege Escalation</t>
        </is>
      </c>
      <c r="B336" s="16" t="inlineStr">
        <is>
          <t>T1053</t>
        </is>
      </c>
      <c r="C336" s="16" t="inlineStr">
        <is>
          <t>Scheduled Task/Job</t>
        </is>
      </c>
      <c r="D336" s="16" t="inlineStr">
        <is>
          <t>T1053.006</t>
        </is>
      </c>
      <c r="E336" s="16" t="inlineStr">
        <is>
          <t>Systemd Timers</t>
        </is>
      </c>
      <c r="F336" s="16" t="inlineStr">
        <is>
          <t>Partial</t>
        </is>
      </c>
      <c r="G336" s="16" t="inlineStr">
        <is>
          <t>DID systems often do not run on OS-based schedulers (cron, schtasks, etc.), but when container-based authentication microservices run in Kubernetes or Docker environments, execution triggers using the Job/CronJob concept may exist. Authentication-related functions such as VC issuance or status verification are sometimes executed automatically at scheduled times or periodically. In particular, Container Orchestration Job (T1053.007) is used for automated batches of authentication logic and event-log processing tasks, and can become a schedule-based threat if abused.
[Structural relevance]
VC issuer (containerized): Medium (Python, Node.js (K8s CronJob-based))
Credential Status API: Medium (Linux systemd timer, Docker/cron)
DID Agent: Low (mainly manually triggered)
DID Wallet (app): Low (invoked directly by the user)</t>
        </is>
      </c>
      <c r="H336" s="16" t="inlineStr">
        <is>
          <t>1. Both sides can automate designated tasks through periodic execution mechanisms.
2. Authenticated role- or privilege-based access control is essential for task execution.
3. Kubernetes Jobs, CronJobs, Linux systemd timers, etc. can be abused by attackers as disguised execution triggers.</t>
        </is>
      </c>
      <c r="I336" s="16" t="inlineStr">
        <is>
          <t>Possible disguise through Kubernetes Job names or CRD triggers</t>
        </is>
      </c>
      <c r="J336" s="16" t="inlineStr">
        <is>
          <t>1. Auditing of execution history and integrity checks are needed for Kubernetes CronJobs and Jobs.
2. Establish a policy that sensitive authentication functions (e.g., VC issuance, status verification) cannot be registered outside a predefined schedule whitelist.
3. In GitOps or CI/CD-based deployments, introduce notification and verification when schedule-related CRDs/Helm charts change.
4. If authentication functions run automatically on a schedule, minimizing IAM policies and container execution account privileges is mandatory.</t>
        </is>
      </c>
      <c r="K336" s="16" t="n"/>
      <c r="L336" s="16" t="inlineStr">
        <is>
          <t>https://attack.mitre.org/techniques/T1053</t>
        </is>
      </c>
    </row>
    <row r="337" ht="169.4" customHeight="1" s="7">
      <c r="A337" s="16" t="inlineStr">
        <is>
          <t>Privilege Escalation</t>
        </is>
      </c>
      <c r="B337" s="16" t="inlineStr">
        <is>
          <t>T1053</t>
        </is>
      </c>
      <c r="C337" s="16" t="inlineStr">
        <is>
          <t>Scheduled Task/Job</t>
        </is>
      </c>
      <c r="D337" s="16" t="inlineStr">
        <is>
          <t>T1053.007</t>
        </is>
      </c>
      <c r="E337" s="16" t="inlineStr">
        <is>
          <t>Container Orchestration Job</t>
        </is>
      </c>
      <c r="F337" s="16" t="inlineStr">
        <is>
          <t>Partial</t>
        </is>
      </c>
      <c r="G337" s="16" t="inlineStr">
        <is>
          <t>DID systems often do not run on OS-based schedulers (cron, schtasks, etc.), but when container-based authentication microservices run in Kubernetes or Docker environments, execution triggers using the Job/CronJob concept may exist. Authentication-related functions such as VC issuance or status verification are sometimes executed automatically at scheduled times or periodically. In particular, Container Orchestration Job (T1053.007) is used for automated batches of authentication logic and event-log processing tasks, and can become a schedule-based threat if abused.
[Structural relevance]
VC issuer (containerized): Medium (Python, Node.js (K8s CronJob-based))
Credential Status API: Medium (Linux systemd timer, Docker/cron)
DID Agent: Low (mainly manually triggered)
DID Wallet (app): Low (invoked directly by the user)</t>
        </is>
      </c>
      <c r="H337" s="16" t="inlineStr">
        <is>
          <t>1. Both sides can automate designated tasks through periodic execution mechanisms.
2. Authenticated role- or privilege-based access control is essential for task execution.
3. Kubernetes Jobs, CronJobs, Linux systemd timers, etc. can be abused by attackers as disguised execution triggers.</t>
        </is>
      </c>
      <c r="I337" s="16" t="inlineStr">
        <is>
          <t>K8s Job logs, Pod event logs, CI/CD tool logs, etc. are required</t>
        </is>
      </c>
      <c r="J337" s="16" t="inlineStr">
        <is>
          <t>1. Auditing of execution history and integrity checks are needed for Kubernetes CronJobs and Jobs.
2. Establish a policy that sensitive authentication functions (e.g., VC issuance, status verification) cannot be registered outside a predefined schedule whitelist.
3. In GitOps or CI/CD-based deployments, introduce notification and verification when schedule-related CRDs/Helm charts change.
4. If authentication functions run automatically on a schedule, minimizing IAM policies and container execution account privileges is mandatory.</t>
        </is>
      </c>
      <c r="K337" s="16" t="n"/>
      <c r="L337" s="16" t="inlineStr">
        <is>
          <t>https://attack.mitre.org/techniques/T1053</t>
        </is>
      </c>
    </row>
    <row r="338" ht="169.4" customHeight="1" s="7">
      <c r="A338" s="16" t="inlineStr">
        <is>
          <t>Privilege Escalation</t>
        </is>
      </c>
      <c r="B338" s="16" t="inlineStr">
        <is>
          <t>T1078</t>
        </is>
      </c>
      <c r="C338" s="16" t="inlineStr">
        <is>
          <t>Valid Accounts</t>
        </is>
      </c>
      <c r="D338" s="16" t="inlineStr">
        <is>
          <t>T1078.001</t>
        </is>
      </c>
      <c r="E338" s="16" t="inlineStr">
        <is>
          <t>Default Accounts</t>
        </is>
      </c>
      <c r="F338" s="16" t="inlineStr">
        <is>
          <t>Full</t>
        </is>
      </c>
      <c r="G338" s="16" t="inlineStr">
        <is>
          <t>DID systems are fundamentally decentralized with no central authentication server, but off-chain DID Agents, VC issuers, Verifier servers, status verification APIs, and similar components manage accounts based on specific IAM policies or authentication tokens. Therefore, an attacker can escalate privileges, bypass authentication, and maintain persistent intrusion by stealing valid user or system accounts or by reusing previously issued authentication tokens.
[Structural relevance]
DID Wallet app: Medium (stored login tokens, password-based authentication, etc.)
VC issuer and Verifier: High (API key, OAuth2, session-based authentication management)
CredentialStatus server: High (JWT-based API access control)
Administrative back-end console: High (access attempts through administrator or default accounts)</t>
        </is>
      </c>
      <c r="H338" s="16" t="inlineStr">
        <is>
          <t>1. As in traditional systems, account-based access control is used, and account compromise can threaten the entire system.
2. Back-end systems such as cloud-based DID Agents and status verifiers may be vulnerable to session reuse, theft of existing tokens, etc.
3. In most VC issuance and verification flows, the authentication state of users/systems is linked through API tokens or sessions, so valid accounts can be abused in attacks.</t>
        </is>
      </c>
      <c r="I338" s="16" t="inlineStr">
        <is>
          <t>DID system</t>
        </is>
      </c>
      <c r="J338" s="16" t="inlineStr">
        <is>
          <t>1. VC processing servers or Agents must minimize the scope and lifetime of authentication tokens and need JWT/access token reuse prevention.
2. Even after initial authentication, session lifetime must be minimized and IP/User-Agent binding is needed.
3. Strengthen deactivation of default and test accounts or their automatic removal at deployment.
4. Store Verifiable Credential access logs per DID subject and add detection of reuse attempts.
5. Configure account-based access privileges with role-based access control (RBAC) and the principle of least privilege.</t>
        </is>
      </c>
      <c r="K338" s="16" t="n"/>
      <c r="L338" s="16" t="inlineStr">
        <is>
          <t>https://attack.mitre.org/techniques/T1078</t>
        </is>
      </c>
    </row>
    <row r="339" ht="169.4" customHeight="1" s="7">
      <c r="A339" s="16" t="inlineStr">
        <is>
          <t>Privilege Escalation</t>
        </is>
      </c>
      <c r="B339" s="16" t="inlineStr">
        <is>
          <t>T1078</t>
        </is>
      </c>
      <c r="C339" s="16" t="inlineStr">
        <is>
          <t>Valid Accounts</t>
        </is>
      </c>
      <c r="D339" s="16" t="inlineStr">
        <is>
          <t>T1078.002</t>
        </is>
      </c>
      <c r="E339" s="16" t="inlineStr">
        <is>
          <t>Domain Accounts</t>
        </is>
      </c>
      <c r="F339" s="16" t="inlineStr">
        <is>
          <t>Full</t>
        </is>
      </c>
      <c r="G339" s="16" t="inlineStr">
        <is>
          <t>DID systems are fundamentally decentralized with no central authentication server, but off-chain DID Agents, VC issuers, Verifier servers, status verification APIs, and similar components manage accounts based on specific IAM policies or authentication tokens. Therefore, an attacker can escalate privileges, bypass authentication, and maintain persistent intrusion by stealing valid user or system accounts or by reusing previously issued authentication tokens.
[Structural relevance]
DID Wallet app: Medium (stored login tokens, password-based authentication, etc.)
VC issuer and Verifier: High (API key, OAuth2, session-based authentication management)
CredentialStatus server: High (JWT-based API access control)
Administrative back-end console: High (access attempts through administrator or default accounts)</t>
        </is>
      </c>
      <c r="H339" s="16" t="inlineStr">
        <is>
          <t>1. As in traditional systems, account-based access control is used, and account compromise can threaten the entire system.
2. Back-end systems such as cloud-based DID Agents and status verifiers may be vulnerable to session reuse, theft of existing tokens, etc.
3. In most VC issuance and verification flows, the authentication state of users/systems is linked through API tokens or sessions, so valid accounts can be abused in attacks.</t>
        </is>
      </c>
      <c r="I339" s="16" t="inlineStr">
        <is>
          <t>DID Agent accounts, API keys, VC authentication tokens</t>
        </is>
      </c>
      <c r="J339" s="16" t="inlineStr">
        <is>
          <t>1. VC processing servers or Agents must minimize the scope and lifetime of authentication tokens and need JWT/access token reuse prevention.
2. Even after initial authentication, session lifetime must be minimized and IP/User-Agent binding is needed.
3. Strengthen deactivation of default and test accounts or their automatic removal at deployment.
4. Store Verifiable Credential access logs per DID subject and add detection of reuse attempts.
5. Configure account-based access privileges with role-based access control (RBAC) and the principle of least privilege.</t>
        </is>
      </c>
      <c r="K339" s="16" t="n"/>
      <c r="L339" s="16" t="inlineStr">
        <is>
          <t>https://attack.mitre.org/techniques/T1078</t>
        </is>
      </c>
    </row>
    <row r="340" ht="169.4" customHeight="1" s="7">
      <c r="A340" s="16" t="inlineStr">
        <is>
          <t>Privilege Escalation</t>
        </is>
      </c>
      <c r="B340" s="16" t="inlineStr">
        <is>
          <t>T1078</t>
        </is>
      </c>
      <c r="C340" s="16" t="inlineStr">
        <is>
          <t>Valid Accounts</t>
        </is>
      </c>
      <c r="D340" s="16" t="inlineStr">
        <is>
          <t>T1078.003</t>
        </is>
      </c>
      <c r="E340" s="16" t="inlineStr">
        <is>
          <t>Local Accounts</t>
        </is>
      </c>
      <c r="F340" s="16" t="inlineStr">
        <is>
          <t>Full</t>
        </is>
      </c>
      <c r="G340" s="16" t="inlineStr">
        <is>
          <t>DID systems are fundamentally decentralized with no central authentication server, but off-chain DID Agents, VC issuers, Verifier servers, status verification APIs, and similar components manage accounts based on specific IAM policies or authentication tokens. Therefore, an attacker can escalate privileges, bypass authentication, and maintain persistent intrusion by stealing valid user or system accounts or by reusing previously issued authentication tokens.
[Structural relevance]
DID Wallet app: Medium (stored login tokens, password-based authentication, etc.)
VC issuer and Verifier: High (API key, OAuth2, session-based authentication management)
CredentialStatus server: High (JWT-based API access control)
Administrative back-end console: High (access attempts through administrator or default accounts)</t>
        </is>
      </c>
      <c r="H340" s="16" t="inlineStr">
        <is>
          <t>1. As in traditional systems, account-based access control is used, and account compromise can threaten the entire system.
2. Back-end systems such as cloud-based DID Agents and status verifiers may be vulnerable to session reuse, theft of existing tokens, etc.
3. In most VC issuance and verification flows, the authentication state of users/systems is linked through API tokens or sessions, so valid accounts can be abused in attacks.</t>
        </is>
      </c>
      <c r="I340" s="16" t="inlineStr">
        <is>
          <t>VC forgery, authentication bypass, theft of data query privileges</t>
        </is>
      </c>
      <c r="J340" s="16" t="inlineStr">
        <is>
          <t>1. VC processing servers or Agents must minimize the scope and lifetime of authentication tokens and need JWT/access token reuse prevention.
2. Even after initial authentication, session lifetime must be minimized and IP/User-Agent binding is needed.
3. Strengthen deactivation of default and test accounts or their automatic removal at deployment.
4. Store Verifiable Credential access logs per DID subject and add detection of reuse attempts.
5. Configure account-based access privileges with role-based access control (RBAC) and the principle of least privilege.</t>
        </is>
      </c>
      <c r="K340" s="16" t="n"/>
      <c r="L340" s="16" t="inlineStr">
        <is>
          <t>https://attack.mitre.org/techniques/T1078</t>
        </is>
      </c>
    </row>
    <row r="341" ht="169.4" customHeight="1" s="7">
      <c r="A341" s="16" t="inlineStr">
        <is>
          <t>Privilege Escalation</t>
        </is>
      </c>
      <c r="B341" s="16" t="inlineStr">
        <is>
          <t>T1078</t>
        </is>
      </c>
      <c r="C341" s="16" t="inlineStr">
        <is>
          <t>Valid Accounts</t>
        </is>
      </c>
      <c r="D341" s="16" t="inlineStr">
        <is>
          <t>T1078.004</t>
        </is>
      </c>
      <c r="E341" s="16" t="inlineStr">
        <is>
          <t>Cloud Accounts</t>
        </is>
      </c>
      <c r="F341" s="16" t="inlineStr">
        <is>
          <t>Full</t>
        </is>
      </c>
      <c r="G341" s="16" t="inlineStr">
        <is>
          <t>DID systems are fundamentally decentralized with no central authentication server, but off-chain DID Agents, VC issuers, Verifier servers, status verification APIs, and similar components manage accounts based on specific IAM policies or authentication tokens. Therefore, an attacker can escalate privileges, bypass authentication, and maintain persistent intrusion by stealing valid user or system accounts or by reusing previously issued authentication tokens.
[Structural relevance]
DID Wallet app: Medium (stored login tokens, password-based authentication, etc.)
VC issuer and Verifier: High (API key, OAuth2, session-based authentication management)
CredentialStatus server: High (JWT-based API access control)
Administrative back-end console: High (access attempts through administrator or default accounts)</t>
        </is>
      </c>
      <c r="H341" s="16" t="inlineStr">
        <is>
          <t>1. As in traditional systems, account-based access control is used, and account compromise can threaten the entire system.
2. Back-end systems such as cloud-based DID Agents and status verifiers may be vulnerable to session reuse, theft of existing tokens, etc.
3. In most VC issuance and verification flows, the authentication state of users/systems is linked through API tokens or sessions, so valid accounts can be abused in attacks.</t>
        </is>
      </c>
      <c r="I341" s="16" t="inlineStr">
        <is>
          <t>Detection of anomalous API calls; tracking of token reuse</t>
        </is>
      </c>
      <c r="J341" s="16" t="inlineStr">
        <is>
          <t>1. VC processing servers or Agents must minimize the scope and lifetime of authentication tokens and need JWT/access token reuse prevention.
2. Even after initial authentication, session lifetime must be minimized and IP/User-Agent binding is needed.
3. Strengthen deactivation of default and test accounts or their automatic removal at deployment.
4. Store Verifiable Credential access logs per DID subject and add detection of reuse attempts.
5. Configure account-based access privileges with role-based access control (RBAC) and the principle of least privilege.</t>
        </is>
      </c>
      <c r="K341" s="16" t="n"/>
      <c r="L341" s="16" t="inlineStr">
        <is>
          <t>https://attack.mitre.org/techniques/T1078</t>
        </is>
      </c>
    </row>
    <row r="342" ht="124.6" customHeight="1" s="7">
      <c r="A342" s="16" t="inlineStr">
        <is>
          <t>Credential Access</t>
        </is>
      </c>
      <c r="B342" s="16" t="inlineStr">
        <is>
          <t>T1557</t>
        </is>
      </c>
      <c r="C342" s="16" t="inlineStr">
        <is>
          <t>Adversary-in-the-Middle</t>
        </is>
      </c>
      <c r="D342" s="16" t="inlineStr">
        <is>
          <t>T1557.001</t>
        </is>
      </c>
      <c r="E342" s="16" t="inlineStr">
        <is>
          <t>LLMNR/NBT-NS Poisoning and SMB Relay</t>
        </is>
      </c>
      <c r="F342" s="16" t="inlineStr">
        <is>
          <t>Partial</t>
        </is>
      </c>
      <c r="G342" s="16" t="inlineStr">
        <is>
          <t>This is an attack that exploits vulnerabilities in centralized authentication systems, whereas the DID system is a decentralized identity verification scheme, an authentication technology based on distributed ledgers such as blockchains without a central server.
Commonalities: both relate to authentication technology.
Differences: LLMNR/NBT-NS poisoning exploits weaknesses in name resolution and NTLM authentication on the local network; DID is based on blockchain-based self-sovereign identity, and its basic structure and operating environment differ.
Required modifications: local-network name-resolution requests → distributed DID Resolver request structure.</t>
        </is>
      </c>
      <c r="H342" s="16" t="n"/>
      <c r="I342" s="16" t="n"/>
      <c r="J342" s="16" t="n"/>
      <c r="K342" s="16" t="n"/>
      <c r="L342" s="16" t="inlineStr">
        <is>
          <t>https://attack.mitre.org/techniques/T1557</t>
        </is>
      </c>
    </row>
    <row r="343" ht="102.2" customHeight="1" s="7">
      <c r="A343" s="16" t="inlineStr">
        <is>
          <t>Credential Access</t>
        </is>
      </c>
      <c r="B343" s="16" t="inlineStr">
        <is>
          <t>T1557</t>
        </is>
      </c>
      <c r="C343" s="16" t="inlineStr">
        <is>
          <t>Adversary-in-the-Middle</t>
        </is>
      </c>
      <c r="D343" s="16" t="inlineStr">
        <is>
          <t>T1557.002</t>
        </is>
      </c>
      <c r="E343" s="16" t="inlineStr">
        <is>
          <t>ARP Cache Poisoning</t>
        </is>
      </c>
      <c r="F343" s="16" t="inlineStr">
        <is>
          <t>No</t>
        </is>
      </c>
      <c r="G343" s="16" t="inlineStr">
        <is>
          <t>ARP Cache Poisoning: an IPv4-based link-layer attack operating on a local network (LAN), whose core is hijacking traffic by injecting forged MAC addresses into the victim's ARP cache; it relies on network-level trust structures and physical location.
DID system: not IP/MAC-based communication but a structure based on identity verification and digital signatures, consisting of P2P- or blockchain-based identity lookup and verification; in addition, the DID mechanism operates at the application layer without depending on network routing or the link layer.</t>
        </is>
      </c>
      <c r="H343" s="16" t="n"/>
      <c r="I343" s="16" t="n"/>
      <c r="J343" s="16" t="n"/>
      <c r="K343" s="16" t="n"/>
      <c r="L343" s="16" t="inlineStr">
        <is>
          <t>https://attack.mitre.org/techniques/T1557</t>
        </is>
      </c>
    </row>
    <row r="344" ht="91" customHeight="1" s="7">
      <c r="A344" s="16" t="inlineStr">
        <is>
          <t>Credential Access</t>
        </is>
      </c>
      <c r="B344" s="16" t="inlineStr">
        <is>
          <t>T1557</t>
        </is>
      </c>
      <c r="C344" s="16" t="inlineStr">
        <is>
          <t>Adversary-in-the-Middle</t>
        </is>
      </c>
      <c r="D344" s="16" t="inlineStr">
        <is>
          <t>T1557.003</t>
        </is>
      </c>
      <c r="E344" s="16" t="inlineStr">
        <is>
          <t>DHCP Spoofing</t>
        </is>
      </c>
      <c r="F344" s="16" t="inlineStr">
        <is>
          <t>No</t>
        </is>
      </c>
      <c r="G344" s="16" t="inlineStr">
        <is>
          <t>DHCP Spoofing: a man-in-the-middle attack that manipulates the victim's network path by spoofing the DHCP protocol, which configures IP addresses, gateways, DNS servers, etc. in a local network.
DID system: for DHCP Spoofing to apply to DID, it would have to be possible to 'manipulate the very path through which authentication information or VCs flow' within the DID system; however, in DID, VCs/VPs are signed and verifiable via DID Documents, so the data itself, not the network path, is the basis of trust.</t>
        </is>
      </c>
      <c r="H344" s="16" t="n"/>
      <c r="I344" s="16" t="n"/>
      <c r="J344" s="16" t="n"/>
      <c r="K344" s="16" t="n"/>
      <c r="L344" s="16" t="inlineStr">
        <is>
          <t>https://attack.mitre.org/techniques/T1557</t>
        </is>
      </c>
    </row>
    <row r="345" ht="124.6" customHeight="1" s="7">
      <c r="A345" s="16" t="inlineStr">
        <is>
          <t>Credential Access</t>
        </is>
      </c>
      <c r="B345" s="16" t="inlineStr">
        <is>
          <t>T1557</t>
        </is>
      </c>
      <c r="C345" s="16" t="inlineStr">
        <is>
          <t>Adversary-in-the-Middle</t>
        </is>
      </c>
      <c r="D345" s="16" t="inlineStr">
        <is>
          <t>T1557.004</t>
        </is>
      </c>
      <c r="E345" s="16" t="inlineStr">
        <is>
          <t>Evil Twin</t>
        </is>
      </c>
      <c r="F345" s="16" t="inlineStr">
        <is>
          <t>Partial</t>
        </is>
      </c>
      <c r="G345" s="16" t="inlineStr">
        <is>
          <t>An attack in which the attacker imitates something the user trusts as legitimate in order to deceive them; a similar threat structure exists in some components of DID systems.
Commonalities: the attack method of imitating a trusted target to deceive the user applies to both systems.
Differences: Evil Twin is based on the physical network; DID is based on digital identity/authentication structures, with entirely different attack vectors and defense mechanisms.
Required modifications: modify the components into a structure that imitates DIDs/VCs/endpoints that the user automatically trusts or references.</t>
        </is>
      </c>
      <c r="H345" s="16" t="n"/>
      <c r="I345" s="16" t="n"/>
      <c r="J345" s="16" t="n"/>
      <c r="K345" s="16" t="n"/>
      <c r="L345" s="16" t="inlineStr">
        <is>
          <t>https://attack.mitre.org/techniques/T1557</t>
        </is>
      </c>
    </row>
    <row r="346" ht="35.05" customHeight="1" s="7">
      <c r="A346" s="16" t="inlineStr">
        <is>
          <t>Credential Access</t>
        </is>
      </c>
      <c r="B346" s="16" t="inlineStr">
        <is>
          <t>T1110</t>
        </is>
      </c>
      <c r="C346" s="16" t="inlineStr">
        <is>
          <t>Brute Force</t>
        </is>
      </c>
      <c r="D346" s="16" t="inlineStr">
        <is>
          <t>T1110.001</t>
        </is>
      </c>
      <c r="E346" s="16" t="inlineStr">
        <is>
          <t>Password Guessing</t>
        </is>
      </c>
      <c r="F346" s="16" t="inlineStr">
        <is>
          <t>No</t>
        </is>
      </c>
      <c r="G346" s="16" t="inlineStr">
        <is>
          <t>Password Guessing: presupposes a centralized, password-based system.
DID: uses asymmetric cryptographic structures such as public-key-based digital signatures rather than password-based authentication.</t>
        </is>
      </c>
      <c r="H346" s="16" t="n"/>
      <c r="I346" s="16" t="n"/>
      <c r="J346" s="16" t="n"/>
      <c r="K346" s="16" t="n"/>
      <c r="L346" s="16" t="inlineStr">
        <is>
          <t>https://attack.mitre.org/techniques/T1110</t>
        </is>
      </c>
    </row>
    <row r="347" ht="46.25" customHeight="1" s="7">
      <c r="A347" s="16" t="inlineStr">
        <is>
          <t>Credential Access</t>
        </is>
      </c>
      <c r="B347" s="16" t="inlineStr">
        <is>
          <t>T1110</t>
        </is>
      </c>
      <c r="C347" s="16" t="inlineStr">
        <is>
          <t>Brute Force</t>
        </is>
      </c>
      <c r="D347" s="16" t="inlineStr">
        <is>
          <t>T1110.002</t>
        </is>
      </c>
      <c r="E347" s="16" t="inlineStr">
        <is>
          <t>Password Cracking</t>
        </is>
      </c>
      <c r="F347" s="16" t="inlineStr">
        <is>
          <t>No</t>
        </is>
      </c>
      <c r="G347" s="16" t="inlineStr">
        <is>
          <t>Password Cracking: presupposes a centralized system based on hashed passwords.
DID: uses asymmetric cryptographic structures such as public-key-based digital signatures rather than password-based authentication.</t>
        </is>
      </c>
      <c r="H347" s="16" t="n"/>
      <c r="I347" s="16" t="n"/>
      <c r="J347" s="16" t="n"/>
      <c r="K347" s="16" t="n"/>
      <c r="L347" s="16" t="inlineStr">
        <is>
          <t>https://attack.mitre.org/techniques/T1110</t>
        </is>
      </c>
    </row>
    <row r="348" ht="46.25" customHeight="1" s="7">
      <c r="A348" s="16" t="inlineStr">
        <is>
          <t>Credential Access</t>
        </is>
      </c>
      <c r="B348" s="16" t="inlineStr">
        <is>
          <t>T1110</t>
        </is>
      </c>
      <c r="C348" s="16" t="inlineStr">
        <is>
          <t>Brute Force</t>
        </is>
      </c>
      <c r="D348" s="16" t="inlineStr">
        <is>
          <t>T1110.003</t>
        </is>
      </c>
      <c r="E348" s="16" t="inlineStr">
        <is>
          <t>Password Spraying</t>
        </is>
      </c>
      <c r="F348" s="16" t="inlineStr">
        <is>
          <t>No</t>
        </is>
      </c>
      <c r="G348" s="16" t="inlineStr">
        <is>
          <t>Password Spraying: presupposes a centralized, ID/password-based system.
DID: uses asymmetric cryptographic structures such as public-key-based digital signatures rather than password-based authentication.</t>
        </is>
      </c>
      <c r="H348" s="16" t="n"/>
      <c r="I348" s="16" t="n"/>
      <c r="J348" s="16" t="n"/>
      <c r="K348" s="16" t="n"/>
      <c r="L348" s="16" t="inlineStr">
        <is>
          <t>https://attack.mitre.org/techniques/T1110</t>
        </is>
      </c>
    </row>
    <row r="349" ht="46.25" customHeight="1" s="7">
      <c r="A349" s="16" t="inlineStr">
        <is>
          <t>Credential Access</t>
        </is>
      </c>
      <c r="B349" s="16" t="inlineStr">
        <is>
          <t>T1110</t>
        </is>
      </c>
      <c r="C349" s="16" t="inlineStr">
        <is>
          <t>Brute Force</t>
        </is>
      </c>
      <c r="D349" s="16" t="inlineStr">
        <is>
          <t>T1110.004</t>
        </is>
      </c>
      <c r="E349" s="16" t="inlineStr">
        <is>
          <t>Credential Stuffing</t>
        </is>
      </c>
      <c r="F349" s="16" t="inlineStr">
        <is>
          <t>Partial</t>
        </is>
      </c>
      <c r="G349" s="16" t="inlineStr">
        <is>
          <t>Credential Stuffing: presupposes a centralized, ID/password-based system.
DID: uses asymmetric cryptographic structures such as public-key-based digital signatures rather than password-based authentication.</t>
        </is>
      </c>
      <c r="H349" s="16" t="n"/>
      <c r="I349" s="16" t="n"/>
      <c r="J349" s="16" t="n"/>
      <c r="K349" s="16" t="n"/>
      <c r="L349" s="16" t="inlineStr">
        <is>
          <t>https://attack.mitre.org/techniques/T1110</t>
        </is>
      </c>
    </row>
    <row r="350" ht="91" customHeight="1" s="7">
      <c r="A350" s="16" t="inlineStr">
        <is>
          <t>Credential Access</t>
        </is>
      </c>
      <c r="B350" s="16" t="inlineStr">
        <is>
          <t>T1555</t>
        </is>
      </c>
      <c r="C350" s="16" t="inlineStr">
        <is>
          <t>Credentials from Password Stores</t>
        </is>
      </c>
      <c r="D350" s="16" t="inlineStr">
        <is>
          <t>T1555.001</t>
        </is>
      </c>
      <c r="E350" s="16" t="inlineStr">
        <is>
          <t>Keychain</t>
        </is>
      </c>
      <c r="F350" s="16" t="inlineStr">
        <is>
          <t>Partial</t>
        </is>
      </c>
      <c r="G350" s="16" t="inlineStr">
        <is>
          <t>Commonalities: both concern credential storage and access.
Differences: Keychain is a password storage system used in a centralized OS environment (macOS); DID is a decentralized, blockchain-based identity proof scheme; the structure and format of the stored information differ (passwords versus VCs and key pairs).
Required modifications: Keychain → DID wallet app or browser/mobile-based DID key store; attacker goal: credential theft from Keychain → private-key theft from the DID wallet.</t>
        </is>
      </c>
      <c r="H350" s="16" t="n"/>
      <c r="I350" s="16" t="n"/>
      <c r="J350" s="16" t="n"/>
      <c r="K350" s="16" t="n"/>
      <c r="L350" s="16" t="inlineStr">
        <is>
          <t>https://attack.mitre.org/techniques/T1555</t>
        </is>
      </c>
    </row>
    <row r="351" ht="124.6" customHeight="1" s="7">
      <c r="A351" s="16" t="inlineStr">
        <is>
          <t>Credential Access</t>
        </is>
      </c>
      <c r="B351" s="16" t="inlineStr">
        <is>
          <t>T1555</t>
        </is>
      </c>
      <c r="C351" s="16" t="inlineStr">
        <is>
          <t>Credentials from Password Stores</t>
        </is>
      </c>
      <c r="D351" s="16" t="inlineStr">
        <is>
          <t>T1555.002</t>
        </is>
      </c>
      <c r="E351" s="16" t="inlineStr">
        <is>
          <t>Securityd Memory</t>
        </is>
      </c>
      <c r="F351" s="16" t="inlineStr">
        <is>
          <t>Partial</t>
        </is>
      </c>
      <c r="G351" s="16" t="inlineStr">
        <is>
          <t>Commonalities: DID systems also have stores for user keys (private keys) and secrets (keystores); since keys are also stored locally in DID systems, a DID wallet's private key can be exposed if the attacker has root privileges.
Differences: in Securityd Memory, the Keychain is an OS-level central store not directly controlled by the user; DID emphasizes user-owned key management, so the security design and storage location differ.
Required modifications: macOS Keychain → keystore or secure enclave used by the DID wallet; user password → private key for DID authentication; root privileges → likelihood increases on rooted/jailbroken devices.</t>
        </is>
      </c>
      <c r="H351" s="16" t="n"/>
      <c r="I351" s="16" t="n"/>
      <c r="J351" s="16" t="n"/>
      <c r="K351" s="16" t="n"/>
      <c r="L351" s="16" t="inlineStr">
        <is>
          <t>https://attack.mitre.org/techniques/T1555</t>
        </is>
      </c>
    </row>
    <row r="352" ht="169.4" customHeight="1" s="7">
      <c r="A352" s="16" t="inlineStr">
        <is>
          <t>Credential Access</t>
        </is>
      </c>
      <c r="B352" s="16" t="inlineStr">
        <is>
          <t>T1555</t>
        </is>
      </c>
      <c r="C352" s="16" t="inlineStr">
        <is>
          <t>Credentials from Password Stores</t>
        </is>
      </c>
      <c r="D352" s="16" t="inlineStr">
        <is>
          <t>T1555.003</t>
        </is>
      </c>
      <c r="E352" s="16" t="inlineStr">
        <is>
          <t>Credentials from Web Browsers</t>
        </is>
      </c>
      <c r="F352" s="16" t="inlineStr">
        <is>
          <t>Partial</t>
        </is>
      </c>
      <c r="G352" s="16" t="inlineStr">
        <is>
          <t>Commonalities: DID system users also store VCs/VPs or information linked to private keys through browser-based wallets (e.g., MetaMask); if a DID client caches login information in browser storage, or the password for the private key used for VP requests is stored in browser storage, stealing that data enables authentication attempts, VC creation, or signature forgery.
Differences: Credentials from Web Browsers aims to steal web accounts; DID mainly uses encrypted key-based signatures and VC/VP structures, so merely stealing browser login credentials does not directly threaten DID authentication.
Required modifications: website account information (ID/password) → DID wallet-related information (private key, signing key, recovery phrase, VCs/VPs); browser storage → local storage / IndexedDB / browser cache of DID wallet extensions; user authentication password → DID wallet password or private-key access key.</t>
        </is>
      </c>
      <c r="H352" s="16" t="n"/>
      <c r="I352" s="16" t="n"/>
      <c r="J352" s="16" t="n"/>
      <c r="K352" s="16" t="n"/>
      <c r="L352" s="16" t="inlineStr">
        <is>
          <t>https://attack.mitre.org/techniques/T1555</t>
        </is>
      </c>
    </row>
    <row r="353" ht="135.8" customHeight="1" s="7">
      <c r="A353" s="16" t="inlineStr">
        <is>
          <t>Credential Access</t>
        </is>
      </c>
      <c r="B353" s="16" t="inlineStr">
        <is>
          <t>T1555</t>
        </is>
      </c>
      <c r="C353" s="16" t="inlineStr">
        <is>
          <t>Credentials from Password Stores</t>
        </is>
      </c>
      <c r="D353" s="16" t="inlineStr">
        <is>
          <t>T1555.004</t>
        </is>
      </c>
      <c r="E353" s="16" t="inlineStr">
        <is>
          <t>Windows Credential Manager</t>
        </is>
      </c>
      <c r="F353" s="16" t="inlineStr">
        <is>
          <t>Partial</t>
        </is>
      </c>
      <c r="G353" s="16" t="inlineStr">
        <is>
          <t>Commonalities: both systems keep sensitive credentials (Windows: user passwords; DID: private keys/VCs) in local storage, and attacks to steal them are possible.
Differences: Windows Credential Manager mainly stores user accounts, network credentials, and web login information and is used for traditional ID/password-based authentication; DID authenticates through private-key-based signatures without passwords and uses structured authentication data such as Verifiable Credentials.
Required modifications: Credential Locker → DID wallet/keystore; web/application credentials → VCs, private keys; vaultcmd.exe, CredEnumerateA() → malware/scripts that directly access or steal the DID wallet.</t>
        </is>
      </c>
      <c r="H353" s="16" t="n"/>
      <c r="I353" s="16" t="n"/>
      <c r="J353" s="16" t="n"/>
      <c r="K353" s="16" t="n"/>
      <c r="L353" s="16" t="inlineStr">
        <is>
          <t>https://attack.mitre.org/techniques/T1555</t>
        </is>
      </c>
    </row>
    <row r="354" ht="124.6" customHeight="1" s="7">
      <c r="A354" s="16" t="inlineStr">
        <is>
          <t>Credential Access</t>
        </is>
      </c>
      <c r="B354" s="16" t="inlineStr">
        <is>
          <t>T1555</t>
        </is>
      </c>
      <c r="C354" s="16" t="inlineStr">
        <is>
          <t>Credentials from Password Stores</t>
        </is>
      </c>
      <c r="D354" s="16" t="inlineStr">
        <is>
          <t>T1555.005</t>
        </is>
      </c>
      <c r="E354" s="16" t="inlineStr">
        <is>
          <t>Password Managers</t>
        </is>
      </c>
      <c r="F354" s="16" t="inlineStr">
        <is>
          <t>Partial</t>
        </is>
      </c>
      <c r="G354" s="16" t="inlineStr">
        <is>
          <t>Commonalities: in DID systems as well, private keys and authentication-related credentials are stored in a local keystore or the DID wallet app's internal storage and are protected in encrypted form like an ordinary password manager.
Differences: password managers focus on storing website login credentials (ID/password); DID stores VCs/private keys and uses a signature-based distributed authentication scheme, so the stored content and authentication method differ.
Required modifications: password manager → private-key store in the DID wallet app; master password → authentication means for unlocking the DID wallet (PIN, biometrics, etc.).</t>
        </is>
      </c>
      <c r="H354" s="16" t="n"/>
      <c r="I354" s="16" t="n"/>
      <c r="J354" s="16" t="n"/>
      <c r="K354" s="16" t="n"/>
      <c r="L354" s="16" t="inlineStr">
        <is>
          <t>https://attack.mitre.org/techniques/T1555</t>
        </is>
      </c>
    </row>
    <row r="355" ht="113.4" customHeight="1" s="7">
      <c r="A355" s="16" t="inlineStr">
        <is>
          <t>Credential Access</t>
        </is>
      </c>
      <c r="B355" s="16" t="inlineStr">
        <is>
          <t>T1555</t>
        </is>
      </c>
      <c r="C355" s="16" t="inlineStr">
        <is>
          <t>Credentials from Password Stores</t>
        </is>
      </c>
      <c r="D355" s="16" t="inlineStr">
        <is>
          <t>T1555.006</t>
        </is>
      </c>
      <c r="E355" s="16" t="inlineStr">
        <is>
          <t>Cloud Secrets Management Stores</t>
        </is>
      </c>
      <c r="F355" s="16" t="inlineStr">
        <is>
          <t>Partial</t>
        </is>
      </c>
      <c r="G355" s="16" t="inlineStr">
        <is>
          <t>Commonalities: DID systems must also securely store sensitive authentication information such as private keys, VCs (Verifiable Credentials), and VPs (Verifiable Presentations), and for this they use keystores in wallet apps, Secure Enclave/TEE, external (cloud-based) secret managers, etc.
Differences: Cloud Secrets Management Stores targets cloud-based centralized secret stores, which usually operate on the server side; DID aims for a decentralized structure and stores private keys on user devices; direct attack is therefore difficult, and the technique applies only when some DID wallets integrate with cloud keystores.</t>
        </is>
      </c>
      <c r="H355" s="16" t="n"/>
      <c r="I355" s="16" t="n"/>
      <c r="J355" s="16" t="n"/>
      <c r="K355" s="16" t="n"/>
      <c r="L355" s="16" t="inlineStr">
        <is>
          <t>https://attack.mitre.org/techniques/T1555</t>
        </is>
      </c>
    </row>
    <row r="356" ht="169.4" customHeight="1" s="7">
      <c r="A356" s="16" t="inlineStr">
        <is>
          <t>Credential Access</t>
        </is>
      </c>
      <c r="B356" s="16" t="inlineStr">
        <is>
          <t>T1212</t>
        </is>
      </c>
      <c r="C356" s="16" t="inlineStr">
        <is>
          <t>Exploitation for Credential Access</t>
        </is>
      </c>
      <c r="D356" s="16" t="n"/>
      <c r="E356" s="16" t="n"/>
      <c r="F356" s="16" t="inlineStr">
        <is>
          <t>Partial</t>
        </is>
      </c>
      <c r="G356" s="16" t="inlineStr">
        <is>
          <t>Exploitation for Credential Access exploits vulnerabilities in software or protocols to steal credentials directly or bypass the authentication flow; it occurs mainly in centralized authentication systems (Kerberos, etc.), but may apply to any system that has authentication logic, token issuance procedures, or verification processing flows.
Commonalities: attacks targeting the authentication flow.
Differences: Exploitation for Credential Access targets centralized systems with a central issuance-verification model; DID is a decentralized system centered on asymmetric keys and verification.
Required modifications: password/ticket-based authentication flow → digital-signature- and VC-based authentication flow; token/session handling vulnerabilities → target changed to vulnerabilities in VC/VP and DID processing logic; exploitation of protocol bugs such as Kerberos → exploitation of code vulnerabilities on the DID Resolver, Verifier, and Holder sides.</t>
        </is>
      </c>
      <c r="H356" s="16" t="n"/>
      <c r="I356" s="16" t="n"/>
      <c r="J356" s="16" t="n"/>
      <c r="K356" s="16" t="n"/>
      <c r="L356" s="16" t="inlineStr">
        <is>
          <t>https://attack.mitre.org/techniques/T1212</t>
        </is>
      </c>
    </row>
    <row r="357" ht="91" customHeight="1" s="7">
      <c r="A357" s="16" t="inlineStr">
        <is>
          <t>Credential Access</t>
        </is>
      </c>
      <c r="B357" s="16" t="inlineStr">
        <is>
          <t>T1187</t>
        </is>
      </c>
      <c r="C357" s="16" t="inlineStr">
        <is>
          <t>Forced Authentication</t>
        </is>
      </c>
      <c r="D357" s="16" t="n"/>
      <c r="E357" s="16" t="n"/>
      <c r="F357" s="16" t="inlineStr">
        <is>
          <t>No</t>
        </is>
      </c>
      <c r="G357" s="16" t="inlineStr">
        <is>
          <t>Forced Authentication: a passive credential theft technique that forcibly triggers automatic authentication mechanisms (e.g., SMB, WebDAV) so that authentication information is sent to the attacker's server.
DID: there are no automatic authentication or OS-level network authentication triggers; the user directly responds to DID signature requests or intentionally submits VCs/VPs; the authentication information consists of private-key-based digital signatures, and the attacker cannot force such signatures to be sent automatically.</t>
        </is>
      </c>
      <c r="H357" s="16" t="n"/>
      <c r="I357" s="16" t="n"/>
      <c r="J357" s="16" t="n"/>
      <c r="K357" s="16" t="n"/>
      <c r="L357" s="16" t="inlineStr">
        <is>
          <t>https://attack.mitre.org/techniques/T1187</t>
        </is>
      </c>
    </row>
    <row r="358" ht="158.2" customHeight="1" s="7">
      <c r="A358" s="16" t="inlineStr">
        <is>
          <t>Credential Access</t>
        </is>
      </c>
      <c r="B358" s="16" t="inlineStr">
        <is>
          <t>T1606</t>
        </is>
      </c>
      <c r="C358" s="16" t="inlineStr">
        <is>
          <t>Forge Web Credentials</t>
        </is>
      </c>
      <c r="D358" s="16" t="inlineStr">
        <is>
          <t>T1606.001</t>
        </is>
      </c>
      <c r="E358" s="16" t="inlineStr">
        <is>
          <t>Web Cookies</t>
        </is>
      </c>
      <c r="F358" s="16" t="inlineStr">
        <is>
          <t>Partial</t>
        </is>
      </c>
      <c r="G358" s="16" t="inlineStr">
        <is>
          <t>Commonalities: conceptually similar to forging Verifiable Credentials (VCs), one of the main elements of DID (Decentralized Identifier) systems, or JWT-based authentication tokens.
Differences: Forge Web Credentials uses tokens issued by the server and stored by the client, such as session cookies, JWTs, and OAuth tokens; DID-based VCs use standardized digital signature structures (e.g., Ed25519, ECDSA), and the verifier verifies them by retrieving the public key from the issuer's DID Document referenced in the VC; that is, DID uses a distributed trust model and signature-based integrity verification and is therefore resistant to forgery.
Applicable modifications: web session credentials → Verifiable Credential (VC) or Presentation (VP); secret value → private key of the issuer DID; API calls such as AssumeRole and federation tokens → misuse of DID issuance APIs or abuse of privileges.</t>
        </is>
      </c>
      <c r="H358" s="16" t="n"/>
      <c r="I358" s="16" t="n"/>
      <c r="J358" s="16" t="n"/>
      <c r="K358" s="16" t="n"/>
      <c r="L358" s="16" t="inlineStr">
        <is>
          <t>https://attack.mitre.org/techniques/T1606</t>
        </is>
      </c>
    </row>
    <row r="359" ht="158.2" customHeight="1" s="7">
      <c r="A359" s="16" t="inlineStr">
        <is>
          <t>Credential Access</t>
        </is>
      </c>
      <c r="B359" s="16" t="inlineStr">
        <is>
          <t>T1606</t>
        </is>
      </c>
      <c r="C359" s="16" t="inlineStr">
        <is>
          <t>Forge Web Credentials</t>
        </is>
      </c>
      <c r="D359" s="16" t="inlineStr">
        <is>
          <t>T1606.002</t>
        </is>
      </c>
      <c r="E359" s="16" t="inlineStr">
        <is>
          <t>SAML Tokens</t>
        </is>
      </c>
      <c r="F359" s="16" t="inlineStr">
        <is>
          <t>Partial</t>
        </is>
      </c>
      <c r="G359" s="16" t="inlineStr">
        <is>
          <t>Commonalities: conceptually similar to forging Verifiable Credentials (VCs), one of the main elements of DID (Decentralized Identifier) systems, or JWT-based authentication tokens.
Differences: Forge Web Credentials uses tokens issued by the server and stored by the client, such as session cookies, JWTs, and OAuth tokens; DID-based VCs use standardized digital signature structures (e.g., Ed25519, ECDSA), and the verifier verifies them by retrieving the public key from the issuer's DID Document referenced in the VC; that is, DID uses a distributed trust model and signature-based integrity verification and is therefore resistant to forgery.
Applicable modifications: web session credentials → Verifiable Credential (VC) or Presentation (VP); secret value → private key of the issuer DID; API calls such as AssumeRole and federation tokens → misuse of DID issuance APIs or abuse of privileges.</t>
        </is>
      </c>
      <c r="H359" s="16" t="n"/>
      <c r="I359" s="16" t="n"/>
      <c r="J359" s="16" t="n"/>
      <c r="K359" s="16" t="n"/>
      <c r="L359" s="16" t="inlineStr">
        <is>
          <t>https://attack.mitre.org/techniques/T1606</t>
        </is>
      </c>
    </row>
    <row r="360" ht="102.2" customHeight="1" s="7">
      <c r="A360" s="16" t="inlineStr">
        <is>
          <t>Credential Access</t>
        </is>
      </c>
      <c r="B360" s="16" t="inlineStr">
        <is>
          <t>T1056</t>
        </is>
      </c>
      <c r="C360" s="16" t="inlineStr">
        <is>
          <t>Input Capture</t>
        </is>
      </c>
      <c r="D360" s="16" t="inlineStr">
        <is>
          <t>T1056.001</t>
        </is>
      </c>
      <c r="E360" s="16" t="inlineStr">
        <is>
          <t>Keylogging</t>
        </is>
      </c>
      <c r="F360" s="16" t="inlineStr">
        <is>
          <t>Partial</t>
        </is>
      </c>
      <c r="G360" s="16" t="inlineStr">
        <is>
          <t>Commonalities: DID systems also require user input (PIN, biometrics, etc.) to decrypt private keys or make VC requests, so this input can be an attack point; both systems operate on information entered on the user's device, and the attacker aims to steal local input.
Differences: input capture often occurs in centralized authentication systems (web login, server authentication); in DID, authentication information is managed by the user's wallet rather than a central server.
Applicable modifications: web session credentials → VC or VP; secret value → private key or signing key of the issuer DID.</t>
        </is>
      </c>
      <c r="H360" s="16" t="n"/>
      <c r="I360" s="16" t="n"/>
      <c r="J360" s="16" t="n"/>
      <c r="K360" s="16" t="inlineStr">
        <is>
          <t>ID corrected from T1506 (recorded in the original sheet) to T1056 (Input Capture).</t>
        </is>
      </c>
      <c r="L360" s="16" t="inlineStr">
        <is>
          <t>https://attack.mitre.org/techniques/T1056</t>
        </is>
      </c>
    </row>
    <row r="361" ht="102.2" customHeight="1" s="7">
      <c r="A361" s="16" t="inlineStr">
        <is>
          <t>Credential Access</t>
        </is>
      </c>
      <c r="B361" s="16" t="inlineStr">
        <is>
          <t>T1056</t>
        </is>
      </c>
      <c r="C361" s="16" t="inlineStr">
        <is>
          <t>Input Capture</t>
        </is>
      </c>
      <c r="D361" s="16" t="inlineStr">
        <is>
          <t>T1056.002</t>
        </is>
      </c>
      <c r="E361" s="16" t="inlineStr">
        <is>
          <t>GUI Input Capture</t>
        </is>
      </c>
      <c r="F361" s="16" t="inlineStr">
        <is>
          <t>Partial</t>
        </is>
      </c>
      <c r="G361" s="16" t="inlineStr">
        <is>
          <t>Commonalities: DID systems also require user input (PIN, biometrics, etc.) to decrypt private keys or make VC requests, so this input can be an attack point; both systems operate on information entered on the user's device, and the attacker aims to steal local input.
Differences: input capture often occurs in centralized authentication systems (web login, server authentication); in DID, authentication information is managed by the user's wallet rather than a central server.
Applicable modifications: web session credentials → VC or VP; secret value → private key or signing key of the issuer DID.</t>
        </is>
      </c>
      <c r="H361" s="16" t="n"/>
      <c r="I361" s="16" t="n"/>
      <c r="J361" s="16" t="n"/>
      <c r="K361" s="16" t="inlineStr">
        <is>
          <t>ID corrected from T1506 (recorded in the original sheet) to T1056 (Input Capture).</t>
        </is>
      </c>
      <c r="L361" s="16" t="inlineStr">
        <is>
          <t>https://attack.mitre.org/techniques/T1056</t>
        </is>
      </c>
    </row>
    <row r="362" ht="102.2" customHeight="1" s="7">
      <c r="A362" s="16" t="inlineStr">
        <is>
          <t>Credential Access</t>
        </is>
      </c>
      <c r="B362" s="16" t="inlineStr">
        <is>
          <t>T1056</t>
        </is>
      </c>
      <c r="C362" s="16" t="inlineStr">
        <is>
          <t>Input Capture</t>
        </is>
      </c>
      <c r="D362" s="16" t="inlineStr">
        <is>
          <t>T1056.003</t>
        </is>
      </c>
      <c r="E362" s="16" t="inlineStr">
        <is>
          <t>Web Portal Capture</t>
        </is>
      </c>
      <c r="F362" s="16" t="inlineStr">
        <is>
          <t>Partial</t>
        </is>
      </c>
      <c r="G362" s="16" t="inlineStr">
        <is>
          <t>Commonalities: DID systems also require user input (PIN, biometrics, etc.) to decrypt private keys or make VC requests, so this input can be an attack point; both systems operate on information entered on the user's device, and the attacker aims to steal local input.
Differences: input capture often occurs in centralized authentication systems (web login, server authentication); in DID, authentication information is managed by the user's wallet rather than a central server.
Applicable modifications: web session credentials → VC or VP; secret value → private key or signing key of the issuer DID.</t>
        </is>
      </c>
      <c r="H362" s="16" t="n"/>
      <c r="I362" s="16" t="n"/>
      <c r="J362" s="16" t="n"/>
      <c r="K362" s="16" t="inlineStr">
        <is>
          <t>ID corrected from T1506 (recorded in the original sheet) to T1056 (Input Capture).</t>
        </is>
      </c>
      <c r="L362" s="16" t="inlineStr">
        <is>
          <t>https://attack.mitre.org/techniques/T1056</t>
        </is>
      </c>
    </row>
    <row r="363" ht="102.2" customHeight="1" s="7">
      <c r="A363" s="16" t="inlineStr">
        <is>
          <t>Credential Access</t>
        </is>
      </c>
      <c r="B363" s="16" t="inlineStr">
        <is>
          <t>T1056</t>
        </is>
      </c>
      <c r="C363" s="16" t="inlineStr">
        <is>
          <t>Input Capture</t>
        </is>
      </c>
      <c r="D363" s="16" t="inlineStr">
        <is>
          <t>T1056.004</t>
        </is>
      </c>
      <c r="E363" s="16" t="inlineStr">
        <is>
          <t>Credential API Hooking</t>
        </is>
      </c>
      <c r="F363" s="16" t="inlineStr">
        <is>
          <t>Partial</t>
        </is>
      </c>
      <c r="G363" s="16" t="inlineStr">
        <is>
          <t>Commonalities: DID systems also require user input (PIN, biometrics, etc.) to decrypt private keys or make VC requests, so this input can be an attack point; both systems operate on information entered on the user's device, and the attacker aims to steal local input.
Differences: input capture often occurs in centralized authentication systems (web login, server authentication); in DID, authentication information is managed by the user's wallet rather than a central server.
Applicable modifications: web session credentials → VC or VP; secret value → private key or signing key of the issuer DID.</t>
        </is>
      </c>
      <c r="H363" s="16" t="n"/>
      <c r="I363" s="16" t="n"/>
      <c r="J363" s="16" t="n"/>
      <c r="K363" s="16" t="inlineStr">
        <is>
          <t>ID corrected from T1506 (recorded in the original sheet) to T1056 (Input Capture).</t>
        </is>
      </c>
      <c r="L363" s="16" t="inlineStr">
        <is>
          <t>https://attack.mitre.org/techniques/T1056</t>
        </is>
      </c>
    </row>
    <row r="364" ht="191.75" customHeight="1" s="7">
      <c r="A364" s="16" t="inlineStr">
        <is>
          <t>Credential Access</t>
        </is>
      </c>
      <c r="B364" s="16" t="inlineStr">
        <is>
          <t>T1556</t>
        </is>
      </c>
      <c r="C364" s="16" t="inlineStr">
        <is>
          <t>Modify Authentication Process</t>
        </is>
      </c>
      <c r="D364" s="16" t="inlineStr">
        <is>
          <t>T1556.001</t>
        </is>
      </c>
      <c r="E364" s="16" t="inlineStr">
        <is>
          <t>Domain Controller Authentication</t>
        </is>
      </c>
      <c r="F364" s="16" t="inlineStr">
        <is>
          <t>Partial</t>
        </is>
      </c>
      <c r="G364"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64" s="16" t="n"/>
      <c r="I364" s="16" t="n"/>
      <c r="J364" s="16" t="n"/>
      <c r="K364" s="16" t="n"/>
      <c r="L364" s="16" t="inlineStr">
        <is>
          <t>https://attack.mitre.org/techniques/T1556</t>
        </is>
      </c>
    </row>
    <row r="365" ht="191.75" customHeight="1" s="7">
      <c r="A365" s="16" t="inlineStr">
        <is>
          <t>Credential Access</t>
        </is>
      </c>
      <c r="B365" s="16" t="inlineStr">
        <is>
          <t>T1556</t>
        </is>
      </c>
      <c r="C365" s="16" t="inlineStr">
        <is>
          <t>Modify Authentication Process</t>
        </is>
      </c>
      <c r="D365" s="16" t="inlineStr">
        <is>
          <t>T1556.002</t>
        </is>
      </c>
      <c r="E365" s="16" t="inlineStr">
        <is>
          <t>Password Filter DLL</t>
        </is>
      </c>
      <c r="F365" s="16" t="inlineStr">
        <is>
          <t>Partial</t>
        </is>
      </c>
      <c r="G365"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65" s="16" t="n"/>
      <c r="I365" s="16" t="n"/>
      <c r="J365" s="16" t="n"/>
      <c r="K365" s="16" t="n"/>
      <c r="L365" s="16" t="inlineStr">
        <is>
          <t>https://attack.mitre.org/techniques/T1556</t>
        </is>
      </c>
    </row>
    <row r="366" ht="191.75" customHeight="1" s="7">
      <c r="A366" s="16" t="inlineStr">
        <is>
          <t>Credential Access</t>
        </is>
      </c>
      <c r="B366" s="16" t="inlineStr">
        <is>
          <t>T1556</t>
        </is>
      </c>
      <c r="C366" s="16" t="inlineStr">
        <is>
          <t>Modify Authentication Process</t>
        </is>
      </c>
      <c r="D366" s="16" t="inlineStr">
        <is>
          <t>T1556.003</t>
        </is>
      </c>
      <c r="E366" s="16" t="inlineStr">
        <is>
          <t>Pluggable Authentication Modules</t>
        </is>
      </c>
      <c r="F366" s="16" t="inlineStr">
        <is>
          <t>Partial</t>
        </is>
      </c>
      <c r="G366"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66" s="16" t="n"/>
      <c r="I366" s="16" t="n"/>
      <c r="J366" s="16" t="n"/>
      <c r="K366" s="16" t="n"/>
      <c r="L366" s="16" t="inlineStr">
        <is>
          <t>https://attack.mitre.org/techniques/T1556</t>
        </is>
      </c>
    </row>
    <row r="367" ht="191.75" customHeight="1" s="7">
      <c r="A367" s="16" t="inlineStr">
        <is>
          <t>Credential Access</t>
        </is>
      </c>
      <c r="B367" s="16" t="inlineStr">
        <is>
          <t>T1556</t>
        </is>
      </c>
      <c r="C367" s="16" t="inlineStr">
        <is>
          <t>Modify Authentication Process</t>
        </is>
      </c>
      <c r="D367" s="16" t="inlineStr">
        <is>
          <t>T1556.004</t>
        </is>
      </c>
      <c r="E367" s="16" t="inlineStr">
        <is>
          <t>Network Device Authentication</t>
        </is>
      </c>
      <c r="F367" s="16" t="inlineStr">
        <is>
          <t>Partial</t>
        </is>
      </c>
      <c r="G367"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67" s="16" t="n"/>
      <c r="I367" s="16" t="n"/>
      <c r="J367" s="16" t="n"/>
      <c r="K367" s="16" t="n"/>
      <c r="L367" s="16" t="inlineStr">
        <is>
          <t>https://attack.mitre.org/techniques/T1556</t>
        </is>
      </c>
    </row>
    <row r="368" ht="191.75" customHeight="1" s="7">
      <c r="A368" s="16" t="inlineStr">
        <is>
          <t>Credential Access</t>
        </is>
      </c>
      <c r="B368" s="16" t="inlineStr">
        <is>
          <t>T1556</t>
        </is>
      </c>
      <c r="C368" s="16" t="inlineStr">
        <is>
          <t>Modify Authentication Process</t>
        </is>
      </c>
      <c r="D368" s="16" t="inlineStr">
        <is>
          <t>T1556.005</t>
        </is>
      </c>
      <c r="E368" s="16" t="inlineStr">
        <is>
          <t>Reversible Encryption</t>
        </is>
      </c>
      <c r="F368" s="16" t="inlineStr">
        <is>
          <t>Partial</t>
        </is>
      </c>
      <c r="G368"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68" s="16" t="n"/>
      <c r="I368" s="16" t="n"/>
      <c r="J368" s="16" t="n"/>
      <c r="K368" s="16" t="n"/>
      <c r="L368" s="16" t="inlineStr">
        <is>
          <t>https://attack.mitre.org/techniques/T1556</t>
        </is>
      </c>
    </row>
    <row r="369" ht="191.75" customHeight="1" s="7">
      <c r="A369" s="16" t="inlineStr">
        <is>
          <t>Credential Access</t>
        </is>
      </c>
      <c r="B369" s="16" t="inlineStr">
        <is>
          <t>T1556</t>
        </is>
      </c>
      <c r="C369" s="16" t="inlineStr">
        <is>
          <t>Modify Authentication Process</t>
        </is>
      </c>
      <c r="D369" s="16" t="inlineStr">
        <is>
          <t>T1556.006</t>
        </is>
      </c>
      <c r="E369" s="16" t="inlineStr">
        <is>
          <t>Multi-Factor Authentication</t>
        </is>
      </c>
      <c r="F369" s="16" t="inlineStr">
        <is>
          <t>Partial</t>
        </is>
      </c>
      <c r="G369"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69" s="16" t="n"/>
      <c r="I369" s="16" t="n"/>
      <c r="J369" s="16" t="n"/>
      <c r="K369" s="16" t="n"/>
      <c r="L369" s="16" t="inlineStr">
        <is>
          <t>https://attack.mitre.org/techniques/T1556</t>
        </is>
      </c>
    </row>
    <row r="370" ht="191.75" customHeight="1" s="7">
      <c r="A370" s="16" t="inlineStr">
        <is>
          <t>Credential Access</t>
        </is>
      </c>
      <c r="B370" s="16" t="inlineStr">
        <is>
          <t>T1556</t>
        </is>
      </c>
      <c r="C370" s="16" t="inlineStr">
        <is>
          <t>Modify Authentication Process</t>
        </is>
      </c>
      <c r="D370" s="16" t="inlineStr">
        <is>
          <t>T1556.007</t>
        </is>
      </c>
      <c r="E370" s="16" t="inlineStr">
        <is>
          <t>Hybrid Identity</t>
        </is>
      </c>
      <c r="F370" s="16" t="inlineStr">
        <is>
          <t>Partial</t>
        </is>
      </c>
      <c r="G370"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70" s="16" t="n"/>
      <c r="I370" s="16" t="n"/>
      <c r="J370" s="16" t="n"/>
      <c r="K370" s="16" t="n"/>
      <c r="L370" s="16" t="inlineStr">
        <is>
          <t>https://attack.mitre.org/techniques/T1556</t>
        </is>
      </c>
    </row>
    <row r="371" ht="191.75" customHeight="1" s="7">
      <c r="A371" s="16" t="inlineStr">
        <is>
          <t>Credential Access</t>
        </is>
      </c>
      <c r="B371" s="16" t="inlineStr">
        <is>
          <t>T1556</t>
        </is>
      </c>
      <c r="C371" s="16" t="inlineStr">
        <is>
          <t>Modify Authentication Process</t>
        </is>
      </c>
      <c r="D371" s="16" t="inlineStr">
        <is>
          <t>T1556.008</t>
        </is>
      </c>
      <c r="E371" s="16" t="inlineStr">
        <is>
          <t>Network Provider DLL</t>
        </is>
      </c>
      <c r="F371" s="16" t="inlineStr">
        <is>
          <t>Partial</t>
        </is>
      </c>
      <c r="G371"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71" s="16" t="n"/>
      <c r="I371" s="16" t="n"/>
      <c r="J371" s="16" t="n"/>
      <c r="K371" s="16" t="n"/>
      <c r="L371" s="16" t="inlineStr">
        <is>
          <t>https://attack.mitre.org/techniques/T1556</t>
        </is>
      </c>
    </row>
    <row r="372" ht="191.75" customHeight="1" s="7">
      <c r="A372" s="16" t="inlineStr">
        <is>
          <t>Credential Access</t>
        </is>
      </c>
      <c r="B372" s="16" t="inlineStr">
        <is>
          <t>T1556</t>
        </is>
      </c>
      <c r="C372" s="16" t="inlineStr">
        <is>
          <t>Modify Authentication Process</t>
        </is>
      </c>
      <c r="D372" s="16" t="inlineStr">
        <is>
          <t>T1556.009</t>
        </is>
      </c>
      <c r="E372" s="16" t="inlineStr">
        <is>
          <t>Conditional Access Policies</t>
        </is>
      </c>
      <c r="F372" s="16" t="inlineStr">
        <is>
          <t>Partial</t>
        </is>
      </c>
      <c r="G372" s="16" t="inlineStr">
        <is>
          <t>Commonalities: DID systems also have an authentication process, in which the user authenticates by signing with the private key through the wallet and submitting a VP.
Differences: in Modify Authentication Process, the attacker manipulates OS-level or server-side centralized authentication modules (e.g., PAM, LSASS, SAM) to bypass authentication or steal credentials, which generally requires privileges to directly tamper with the system's internal authentication flow; in DID, authentication is performed through a signature (VP) generated in the user's local wallet without a separate central authentication process, so even if an attacker tampers with OS authentication modules, it is difficult to directly affect the DID authentication flow itself.
Applicable modifications: authentication modules such as LSASS/PAM → authentication processing logic of the DID wallet; manipulation of the authentication process → hooking after a VP request to attempt authentication with forged data or bypass verification; system authentication bypass → bypass of VP verification on the verifier side.</t>
        </is>
      </c>
      <c r="H372" s="16" t="n"/>
      <c r="I372" s="16" t="n"/>
      <c r="J372" s="16" t="n"/>
      <c r="K372" s="16" t="n"/>
      <c r="L372" s="16" t="inlineStr">
        <is>
          <t>https://attack.mitre.org/techniques/T1556</t>
        </is>
      </c>
    </row>
    <row r="373" ht="169.4" customHeight="1" s="7">
      <c r="A373" s="16" t="inlineStr">
        <is>
          <t>Credential Access</t>
        </is>
      </c>
      <c r="B373" s="16" t="inlineStr">
        <is>
          <t>T1111</t>
        </is>
      </c>
      <c r="C373" s="16" t="inlineStr">
        <is>
          <t>Multi-Factor Authentication Interception</t>
        </is>
      </c>
      <c r="D373" s="16" t="n"/>
      <c r="E373" s="16" t="n"/>
      <c r="F373" s="16" t="inlineStr">
        <is>
          <t>Partial</t>
        </is>
      </c>
      <c r="G373" s="16" t="inlineStr">
        <is>
          <t>Commonalities: authentication token delivery (MFA: OTPs, SMS, etc. are sent to the user's device; DID: signed VCs/VPs or DIDComm messages are delivered over the network); proxy-based man-in-the-middle attacks (MFA: a malicious proxy server relays OTPs; DID: an attacker can relay and steal VC requests in the middle); replay abuse (MFA: attempts to reuse OTPs; DID: replay attacks on VCs or authentication messages are possible).
Differences: Multi-Factor Authentication Interception uses authentication factors such as OTPs, smart cards, and SMS; DID uses an asymmetric-key-based digital signature structure; the nature of the authentication factors differs, and direct token interception is structurally difficult.
Required modifications: OTP/SMS/PIN → authentication factors changed to digital signatures/VCs; code interception → attack vector changed to message/signature interception; inducing token entry → user interface manipulation that induces phished DID signature requests.</t>
        </is>
      </c>
      <c r="H373" s="16" t="n"/>
      <c r="I373" s="16" t="n"/>
      <c r="J373" s="16" t="n"/>
      <c r="K373" s="16" t="n"/>
      <c r="L373" s="16" t="inlineStr">
        <is>
          <t>https://attack.mitre.org/techniques/T1111</t>
        </is>
      </c>
    </row>
    <row r="374" ht="124.6" customHeight="1" s="7">
      <c r="A374" s="16" t="inlineStr">
        <is>
          <t>Credential Access</t>
        </is>
      </c>
      <c r="B374" s="16" t="inlineStr">
        <is>
          <t>T1621</t>
        </is>
      </c>
      <c r="C374" s="16" t="inlineStr">
        <is>
          <t>Multi-Factor Authentication Request Generation</t>
        </is>
      </c>
      <c r="D374" s="16" t="n"/>
      <c r="E374" s="16" t="n"/>
      <c r="F374" s="16" t="inlineStr">
        <is>
          <t>Partial</t>
        </is>
      </c>
      <c r="G374" s="16" t="inlineStr">
        <is>
          <t>Commonalities: the structure of sending the authentication request itself to the user to induce acceptance is similar in DID.
Differences: MFA uses a method in which a central server repeatedly sends authentication requests; DID uses user-driven authentication, not an automatic push-approval structure, and the user must explicitly view and sign the authentication request.
Required modifications: MFA push requests → repeated sending of VP requests; user acceptance mistakes → inducing mistakes by deceiving the user's DID wallet UX or by repeated exposure; credential-based MFA fatigue attacks → UX attacks that push the VP request approval flow in the DID wallet in a fatigue-inducing manner.</t>
        </is>
      </c>
      <c r="H374" s="16" t="n"/>
      <c r="I374" s="16" t="n"/>
      <c r="J374" s="16" t="n"/>
      <c r="K374" s="16" t="n"/>
      <c r="L374" s="16" t="inlineStr">
        <is>
          <t>https://attack.mitre.org/techniques/T1621</t>
        </is>
      </c>
    </row>
    <row r="375" ht="158.2" customHeight="1" s="7">
      <c r="A375" s="16" t="inlineStr">
        <is>
          <t>Credential Access</t>
        </is>
      </c>
      <c r="B375" s="16" t="inlineStr">
        <is>
          <t>T1040</t>
        </is>
      </c>
      <c r="C375" s="16" t="inlineStr">
        <is>
          <t>Network Sniffing</t>
        </is>
      </c>
      <c r="D375" s="16" t="n"/>
      <c r="E375" s="16" t="n"/>
      <c r="F375" s="16" t="inlineStr">
        <is>
          <t>Partial</t>
        </is>
      </c>
      <c r="G375" s="16" t="inlineStr">
        <is>
          <t>Commonalities: the structure of sending the authentication request itself to the user to induce acceptance is similar in DID.
Differences: Network Sniffing is an attack that can intercept credentials (especially plaintext passwords, session cookies, etc.) in traditional centralized authentication systems (e.g., web login, Kerberos, SMTP authentication); DID operates through asymmetric-key-based digital signatures, and the information transmitted over the network is generally not plaintext authentication information.
Required modifications: interception of authentication information on the network → interception of VPs or DID signature messages; interception of plaintext passwords and session tokens → capture of signed Presentations and attempted reuse (replay attack); interception via cloud traffic mirroring → DID communication can also be intercepted if it is in plaintext after the TLS termination point.</t>
        </is>
      </c>
      <c r="H375" s="16" t="n"/>
      <c r="I375" s="16" t="n"/>
      <c r="J375" s="16" t="n"/>
      <c r="K375" s="16" t="n"/>
      <c r="L375" s="16" t="inlineStr">
        <is>
          <t>https://attack.mitre.org/techniques/T1040</t>
        </is>
      </c>
    </row>
    <row r="376" ht="113.4" customHeight="1" s="7">
      <c r="A376" s="16" t="inlineStr">
        <is>
          <t>Credential Access</t>
        </is>
      </c>
      <c r="B376" s="16" t="inlineStr">
        <is>
          <t>T1003</t>
        </is>
      </c>
      <c r="C376" s="16" t="inlineStr">
        <is>
          <t>OS Credential Dumping</t>
        </is>
      </c>
      <c r="D376" s="16" t="inlineStr">
        <is>
          <t>T1003.001</t>
        </is>
      </c>
      <c r="E376" s="16" t="inlineStr">
        <is>
          <t>LSASS Memory</t>
        </is>
      </c>
      <c r="F376" s="16" t="inlineStr">
        <is>
          <t>No</t>
        </is>
      </c>
      <c r="G376"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76" s="16" t="n"/>
      <c r="I376" s="16" t="n"/>
      <c r="J376" s="16" t="n"/>
      <c r="K376" s="16" t="n"/>
      <c r="L376" s="16" t="inlineStr">
        <is>
          <t>https://attack.mitre.org/techniques/T1003</t>
        </is>
      </c>
    </row>
    <row r="377" ht="113.4" customHeight="1" s="7">
      <c r="A377" s="16" t="inlineStr">
        <is>
          <t>Credential Access</t>
        </is>
      </c>
      <c r="B377" s="16" t="inlineStr">
        <is>
          <t>T1003</t>
        </is>
      </c>
      <c r="C377" s="16" t="inlineStr">
        <is>
          <t>OS Credential Dumping</t>
        </is>
      </c>
      <c r="D377" s="16" t="inlineStr">
        <is>
          <t>T1003.002</t>
        </is>
      </c>
      <c r="E377" s="16" t="inlineStr">
        <is>
          <t>Security Account Manager</t>
        </is>
      </c>
      <c r="F377" s="16" t="inlineStr">
        <is>
          <t>No</t>
        </is>
      </c>
      <c r="G377"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77" s="16" t="n"/>
      <c r="I377" s="16" t="n"/>
      <c r="J377" s="16" t="n"/>
      <c r="K377" s="16" t="n"/>
      <c r="L377" s="16" t="inlineStr">
        <is>
          <t>https://attack.mitre.org/techniques/T1003</t>
        </is>
      </c>
    </row>
    <row r="378" ht="113.4" customHeight="1" s="7">
      <c r="A378" s="16" t="inlineStr">
        <is>
          <t>Credential Access</t>
        </is>
      </c>
      <c r="B378" s="16" t="inlineStr">
        <is>
          <t>T1003</t>
        </is>
      </c>
      <c r="C378" s="16" t="inlineStr">
        <is>
          <t>OS Credential Dumping</t>
        </is>
      </c>
      <c r="D378" s="16" t="inlineStr">
        <is>
          <t>T1003.003</t>
        </is>
      </c>
      <c r="E378" s="16" t="inlineStr">
        <is>
          <t>NTDS</t>
        </is>
      </c>
      <c r="F378" s="16" t="inlineStr">
        <is>
          <t>No</t>
        </is>
      </c>
      <c r="G378"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78" s="16" t="n"/>
      <c r="I378" s="16" t="n"/>
      <c r="J378" s="16" t="n"/>
      <c r="K378" s="16" t="n"/>
      <c r="L378" s="16" t="inlineStr">
        <is>
          <t>https://attack.mitre.org/techniques/T1003</t>
        </is>
      </c>
    </row>
    <row r="379" ht="113.4" customHeight="1" s="7">
      <c r="A379" s="16" t="inlineStr">
        <is>
          <t>Credential Access</t>
        </is>
      </c>
      <c r="B379" s="16" t="inlineStr">
        <is>
          <t>T1003</t>
        </is>
      </c>
      <c r="C379" s="16" t="inlineStr">
        <is>
          <t>OS Credential Dumping</t>
        </is>
      </c>
      <c r="D379" s="16" t="inlineStr">
        <is>
          <t>T1003.004</t>
        </is>
      </c>
      <c r="E379" s="16" t="inlineStr">
        <is>
          <t>LSA Secrets</t>
        </is>
      </c>
      <c r="F379" s="16" t="inlineStr">
        <is>
          <t>No</t>
        </is>
      </c>
      <c r="G379"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79" s="16" t="n"/>
      <c r="I379" s="16" t="n"/>
      <c r="J379" s="16" t="n"/>
      <c r="K379" s="16" t="n"/>
      <c r="L379" s="16" t="inlineStr">
        <is>
          <t>https://attack.mitre.org/techniques/T1003</t>
        </is>
      </c>
    </row>
    <row r="380" ht="113.4" customHeight="1" s="7">
      <c r="A380" s="16" t="inlineStr">
        <is>
          <t>Credential Access</t>
        </is>
      </c>
      <c r="B380" s="16" t="inlineStr">
        <is>
          <t>T1003</t>
        </is>
      </c>
      <c r="C380" s="16" t="inlineStr">
        <is>
          <t>OS Credential Dumping</t>
        </is>
      </c>
      <c r="D380" s="16" t="inlineStr">
        <is>
          <t>T1003.005</t>
        </is>
      </c>
      <c r="E380" s="16" t="inlineStr">
        <is>
          <t>Cached Domain Credentials</t>
        </is>
      </c>
      <c r="F380" s="16" t="inlineStr">
        <is>
          <t>No</t>
        </is>
      </c>
      <c r="G380"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80" s="16" t="n"/>
      <c r="I380" s="16" t="n"/>
      <c r="J380" s="16" t="n"/>
      <c r="K380" s="16" t="n"/>
      <c r="L380" s="16" t="inlineStr">
        <is>
          <t>https://attack.mitre.org/techniques/T1003</t>
        </is>
      </c>
    </row>
    <row r="381" ht="113.4" customHeight="1" s="7">
      <c r="A381" s="16" t="inlineStr">
        <is>
          <t>Credential Access</t>
        </is>
      </c>
      <c r="B381" s="16" t="inlineStr">
        <is>
          <t>T1003</t>
        </is>
      </c>
      <c r="C381" s="16" t="inlineStr">
        <is>
          <t>OS Credential Dumping</t>
        </is>
      </c>
      <c r="D381" s="16" t="inlineStr">
        <is>
          <t>T1003.006</t>
        </is>
      </c>
      <c r="E381" s="16" t="inlineStr">
        <is>
          <t>DCSync</t>
        </is>
      </c>
      <c r="F381" s="16" t="inlineStr">
        <is>
          <t>No</t>
        </is>
      </c>
      <c r="G381"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81" s="16" t="n"/>
      <c r="I381" s="16" t="n"/>
      <c r="J381" s="16" t="n"/>
      <c r="K381" s="16" t="n"/>
      <c r="L381" s="16" t="inlineStr">
        <is>
          <t>https://attack.mitre.org/techniques/T1003</t>
        </is>
      </c>
    </row>
    <row r="382" ht="113.4" customHeight="1" s="7">
      <c r="A382" s="16" t="inlineStr">
        <is>
          <t>Credential Access</t>
        </is>
      </c>
      <c r="B382" s="16" t="inlineStr">
        <is>
          <t>T1003</t>
        </is>
      </c>
      <c r="C382" s="16" t="inlineStr">
        <is>
          <t>OS Credential Dumping</t>
        </is>
      </c>
      <c r="D382" s="16" t="inlineStr">
        <is>
          <t>T1003.007</t>
        </is>
      </c>
      <c r="E382" s="16" t="inlineStr">
        <is>
          <t>Proc Filesystem</t>
        </is>
      </c>
      <c r="F382" s="16" t="inlineStr">
        <is>
          <t>No</t>
        </is>
      </c>
      <c r="G382"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82" s="16" t="n"/>
      <c r="I382" s="16" t="n"/>
      <c r="J382" s="16" t="n"/>
      <c r="K382" s="16" t="n"/>
      <c r="L382" s="16" t="inlineStr">
        <is>
          <t>https://attack.mitre.org/techniques/T1003</t>
        </is>
      </c>
    </row>
    <row r="383" ht="113.4" customHeight="1" s="7">
      <c r="A383" s="16" t="inlineStr">
        <is>
          <t>Credential Access</t>
        </is>
      </c>
      <c r="B383" s="16" t="inlineStr">
        <is>
          <t>T1003</t>
        </is>
      </c>
      <c r="C383" s="16" t="inlineStr">
        <is>
          <t>OS Credential Dumping</t>
        </is>
      </c>
      <c r="D383" s="16" t="inlineStr">
        <is>
          <t>T1003.008</t>
        </is>
      </c>
      <c r="E383" s="16" t="inlineStr">
        <is>
          <t>/etc/passwd and /etc/shadow</t>
        </is>
      </c>
      <c r="F383" s="16" t="inlineStr">
        <is>
          <t>No</t>
        </is>
      </c>
      <c r="G383" s="16" t="inlineStr">
        <is>
          <t>OS Credential Dumping: an attack technique that operates on the assumption that, in traditional centralized authentication schemes, user authentication information (hashes or plaintext passwords, etc.) remains in operating-system memory or storage for some period.
DID: the user's authentication information (signing keys, etc.) is stored in the user's wallet, and signing is performed directly on the user's device; when authentication is requested, a signature is generated and only sent over the network, the signature and the private key itself are not shared at the operating-system level, and authentication tokens are not retained in memory for long periods.</t>
        </is>
      </c>
      <c r="H383" s="16" t="n"/>
      <c r="I383" s="16" t="n"/>
      <c r="J383" s="16" t="n"/>
      <c r="K383" s="16" t="n"/>
      <c r="L383" s="16" t="inlineStr">
        <is>
          <t>https://attack.mitre.org/techniques/T1003</t>
        </is>
      </c>
    </row>
    <row r="384" ht="147" customHeight="1" s="7">
      <c r="A384" s="16" t="inlineStr">
        <is>
          <t>Credential Access</t>
        </is>
      </c>
      <c r="B384" s="16" t="inlineStr">
        <is>
          <t>T1528</t>
        </is>
      </c>
      <c r="C384" s="16" t="inlineStr">
        <is>
          <t>Steal Application Access Token</t>
        </is>
      </c>
      <c r="D384" s="16" t="n"/>
      <c r="E384" s="16" t="n"/>
      <c r="F384" s="16" t="inlineStr">
        <is>
          <t>Partial</t>
        </is>
      </c>
      <c r="G384" s="16" t="inlineStr">
        <is>
          <t>Commonalities: application access tokens are a means of authenticating and authorizing on behalf of a user, playing a role similar to the signed proofs generated when submitting VPs or VCs in the DID ecosystem.
Differences: existing access tokens are issued and verified by centralized servers or OAuth servers, whereas the DID ecosystem is decentralized and digital signatures and signature verification mechanisms are central rather than tokens themselves; DID has no separate equivalent of an access token, and since VCs/VPs and signature verification are its essence, its structure differs from OAuth 2.0.
Applicable modifications: access token → signed Verifiable Presentation (VP); refresh token theft → misuse of long-lived VCs; OAuth app impersonation → issuer impersonation attacks; token theft via API servers → access to VC stores (APIs/wallets).</t>
        </is>
      </c>
      <c r="H384" s="16" t="n"/>
      <c r="I384" s="16" t="n"/>
      <c r="J384" s="16" t="n"/>
      <c r="K384" s="16" t="n"/>
      <c r="L384" s="16" t="inlineStr">
        <is>
          <t>https://attack.mitre.org/techniques/T1528</t>
        </is>
      </c>
    </row>
    <row r="385" ht="135.8" customHeight="1" s="7">
      <c r="A385" s="16" t="inlineStr">
        <is>
          <t>Credential Access</t>
        </is>
      </c>
      <c r="B385" s="16" t="inlineStr">
        <is>
          <t>T1649</t>
        </is>
      </c>
      <c r="C385" s="16" t="inlineStr">
        <is>
          <t>Steal or Forge Authentication Certificates</t>
        </is>
      </c>
      <c r="D385" s="16" t="n"/>
      <c r="E385" s="16" t="n"/>
      <c r="F385" s="16" t="inlineStr">
        <is>
          <t>Partial</t>
        </is>
      </c>
      <c r="G385" s="16" t="inlineStr">
        <is>
          <t>Commonalities: DID systems also use certificate-like digital-signature-based proofs (VCs/VPs) and private keys, which function as means of authentication; if a private key or related certificate is stolen, DID authentication can also be bypassed.
Differences: Steal or Forge Authentication Certificates relies on central issuers, central repositories, OS-level certificate stores, etc.; DID is issued and verified in a decentralized way, the user keeps the private key directly in a personal wallet, and there are no fields such as EKU or SAN.
Applicable modifications: abuse of certificate reissuance → transformed into VC forgery or illegitimate reissuance, or bypass of the verifier's verification policy; manipulation of certificate fields → tampering with claims in VCs.</t>
        </is>
      </c>
      <c r="H385" s="16" t="n"/>
      <c r="I385" s="16" t="n"/>
      <c r="J385" s="16" t="n"/>
      <c r="K385" s="16" t="n"/>
      <c r="L385" s="16" t="inlineStr">
        <is>
          <t>https://attack.mitre.org/techniques/T1649</t>
        </is>
      </c>
    </row>
    <row r="386" ht="91" customHeight="1" s="7">
      <c r="A386" s="16" t="inlineStr">
        <is>
          <t>Credential Access</t>
        </is>
      </c>
      <c r="B386" s="16" t="inlineStr">
        <is>
          <t>T1558</t>
        </is>
      </c>
      <c r="C386" s="16" t="inlineStr">
        <is>
          <t>Steal or Forge Kerberos Tickets</t>
        </is>
      </c>
      <c r="D386" s="16" t="inlineStr">
        <is>
          <t>T1558.001</t>
        </is>
      </c>
      <c r="E386" s="16" t="inlineStr">
        <is>
          <t>Golden Ticket</t>
        </is>
      </c>
      <c r="F386" s="16" t="inlineStr">
        <is>
          <t>No</t>
        </is>
      </c>
      <c r="G386" s="16" t="inlineStr">
        <is>
          <t>Kerberos: a central Key Distribution Center (KDC) is solely responsible for issuing and verifying tickets; the technique is based on stealing or forging authentication information from memory, ticket caches, service account hashes, etc.
DID: the user keeps their own private key and proves themselves by presenting VCs; since authentication is by submitting signature-based VPs/VCs, an attacker cannot steal ticket-like authentication tokens in advance or extract them from a cache.</t>
        </is>
      </c>
      <c r="H386" s="16" t="n"/>
      <c r="I386" s="16" t="n"/>
      <c r="J386" s="16" t="n"/>
      <c r="K386" s="16" t="n"/>
      <c r="L386" s="16" t="inlineStr">
        <is>
          <t>https://attack.mitre.org/techniques/T1558</t>
        </is>
      </c>
    </row>
    <row r="387" ht="91" customHeight="1" s="7">
      <c r="A387" s="16" t="inlineStr">
        <is>
          <t>Credential Access</t>
        </is>
      </c>
      <c r="B387" s="16" t="inlineStr">
        <is>
          <t>T1558</t>
        </is>
      </c>
      <c r="C387" s="16" t="inlineStr">
        <is>
          <t>Steal or Forge Kerberos Tickets</t>
        </is>
      </c>
      <c r="D387" s="16" t="inlineStr">
        <is>
          <t>T1558.002</t>
        </is>
      </c>
      <c r="E387" s="16" t="inlineStr">
        <is>
          <t>Silver Ticket</t>
        </is>
      </c>
      <c r="F387" s="16" t="inlineStr">
        <is>
          <t>No</t>
        </is>
      </c>
      <c r="G387" s="16" t="inlineStr">
        <is>
          <t>Kerberos: a central Key Distribution Center (KDC) is solely responsible for issuing and verifying tickets; the technique is based on stealing or forging authentication information from memory, ticket caches, service account hashes, etc.
DID: the user keeps their own private key and proves themselves by presenting VCs; since authentication is by submitting signature-based VPs/VCs, an attacker cannot steal ticket-like authentication tokens in advance or extract them from a cache.</t>
        </is>
      </c>
      <c r="H387" s="16" t="n"/>
      <c r="I387" s="16" t="n"/>
      <c r="J387" s="16" t="n"/>
      <c r="K387" s="16" t="n"/>
      <c r="L387" s="16" t="inlineStr">
        <is>
          <t>https://attack.mitre.org/techniques/T1558</t>
        </is>
      </c>
    </row>
    <row r="388" ht="91" customHeight="1" s="7">
      <c r="A388" s="16" t="inlineStr">
        <is>
          <t>Credential Access</t>
        </is>
      </c>
      <c r="B388" s="16" t="inlineStr">
        <is>
          <t>T1558</t>
        </is>
      </c>
      <c r="C388" s="16" t="inlineStr">
        <is>
          <t>Steal or Forge Kerberos Tickets</t>
        </is>
      </c>
      <c r="D388" s="16" t="inlineStr">
        <is>
          <t>T1558.003</t>
        </is>
      </c>
      <c r="E388" s="16" t="inlineStr">
        <is>
          <t>Kerberoasting</t>
        </is>
      </c>
      <c r="F388" s="16" t="inlineStr">
        <is>
          <t>No</t>
        </is>
      </c>
      <c r="G388" s="16" t="inlineStr">
        <is>
          <t>Kerberos: a central Key Distribution Center (KDC) is solely responsible for issuing and verifying tickets; the technique is based on stealing or forging authentication information from memory, ticket caches, service account hashes, etc.
DID: the user keeps their own private key and proves themselves by presenting VCs; since authentication is by submitting signature-based VPs/VCs, an attacker cannot steal ticket-like authentication tokens in advance or extract them from a cache.</t>
        </is>
      </c>
      <c r="H388" s="16" t="n"/>
      <c r="I388" s="16" t="n"/>
      <c r="J388" s="16" t="n"/>
      <c r="K388" s="16" t="n"/>
      <c r="L388" s="16" t="inlineStr">
        <is>
          <t>https://attack.mitre.org/techniques/T1558</t>
        </is>
      </c>
    </row>
    <row r="389" ht="91" customHeight="1" s="7">
      <c r="A389" s="16" t="inlineStr">
        <is>
          <t>Credential Access</t>
        </is>
      </c>
      <c r="B389" s="16" t="inlineStr">
        <is>
          <t>T1558</t>
        </is>
      </c>
      <c r="C389" s="16" t="inlineStr">
        <is>
          <t>Steal or Forge Kerberos Tickets</t>
        </is>
      </c>
      <c r="D389" s="16" t="inlineStr">
        <is>
          <t>T1558.004</t>
        </is>
      </c>
      <c r="E389" s="16" t="inlineStr">
        <is>
          <t>AS-REP Roasting</t>
        </is>
      </c>
      <c r="F389" s="16" t="inlineStr">
        <is>
          <t>No</t>
        </is>
      </c>
      <c r="G389" s="16" t="inlineStr">
        <is>
          <t>Kerberos: a central Key Distribution Center (KDC) is solely responsible for issuing and verifying tickets; the technique is based on stealing or forging authentication information from memory, ticket caches, service account hashes, etc.
DID: the user keeps their own private key and proves themselves by presenting VCs; since authentication is by submitting signature-based VPs/VCs, an attacker cannot steal ticket-like authentication tokens in advance or extract them from a cache.</t>
        </is>
      </c>
      <c r="H389" s="16" t="n"/>
      <c r="I389" s="16" t="n"/>
      <c r="J389" s="16" t="n"/>
      <c r="K389" s="16" t="n"/>
      <c r="L389" s="16" t="inlineStr">
        <is>
          <t>https://attack.mitre.org/techniques/T1558</t>
        </is>
      </c>
    </row>
    <row r="390" ht="91" customHeight="1" s="7">
      <c r="A390" s="16" t="inlineStr">
        <is>
          <t>Credential Access</t>
        </is>
      </c>
      <c r="B390" s="16" t="inlineStr">
        <is>
          <t>T1558</t>
        </is>
      </c>
      <c r="C390" s="16" t="inlineStr">
        <is>
          <t>Steal or Forge Kerberos Tickets</t>
        </is>
      </c>
      <c r="D390" s="16" t="inlineStr">
        <is>
          <t>T1558.005</t>
        </is>
      </c>
      <c r="E390" s="16" t="inlineStr">
        <is>
          <t>Ccache Files</t>
        </is>
      </c>
      <c r="F390" s="16" t="inlineStr">
        <is>
          <t>No</t>
        </is>
      </c>
      <c r="G390" s="16" t="inlineStr">
        <is>
          <t>Kerberos: a central Key Distribution Center (KDC) is solely responsible for issuing and verifying tickets; the technique is based on stealing or forging authentication information from memory, ticket caches, service account hashes, etc.
DID: the user keeps their own private key and proves themselves by presenting VCs; since authentication is by submitting signature-based VPs/VCs, an attacker cannot steal ticket-like authentication tokens in advance or extract them from a cache.</t>
        </is>
      </c>
      <c r="H390" s="16" t="n"/>
      <c r="I390" s="16" t="n"/>
      <c r="J390" s="16" t="n"/>
      <c r="K390" s="16" t="n"/>
      <c r="L390" s="16" t="inlineStr">
        <is>
          <t>https://attack.mitre.org/techniques/T1558</t>
        </is>
      </c>
    </row>
    <row r="391" ht="147" customHeight="1" s="7">
      <c r="A391" s="16" t="inlineStr">
        <is>
          <t>Credential Access</t>
        </is>
      </c>
      <c r="B391" s="16" t="inlineStr">
        <is>
          <t>T1539</t>
        </is>
      </c>
      <c r="C391" s="16" t="inlineStr">
        <is>
          <t>Steal Web Session Cookie</t>
        </is>
      </c>
      <c r="D391" s="16" t="n"/>
      <c r="E391" s="16" t="n"/>
      <c r="F391" s="16" t="inlineStr">
        <is>
          <t>Partial</t>
        </is>
      </c>
      <c r="G391" s="16" t="inlineStr">
        <is>
          <t>Commonalities: concepts similar to session cookies (i.e., temporary authentication tokens), such as the VP submission process after DID authentication or JWT-based temporary access tokens, are used in some DID systems.
Differences: Steal Web Session Cookie targets ordinary browser-based stored authentication session information; DID performs one-time authentication only when a VP is generated, or performs signature-based authentication on every request without storing a separate token.
Applicable modifications: session cookies → OAuth2 access tokens, VP JWTs, etc. issued after DID-based authentication; in-browser cookie theft via XSS, etc. → theft from the storage or memory of client apps that store or transmit VP JWTs; cookie session reuse → reuse of stolen VPs/JWTs (replay attack).</t>
        </is>
      </c>
      <c r="H391" s="16" t="n"/>
      <c r="I391" s="16" t="n"/>
      <c r="J391" s="16" t="n"/>
      <c r="K391" s="16" t="n"/>
      <c r="L391" s="16" t="inlineStr">
        <is>
          <t>https://attack.mitre.org/techniques/T1539</t>
        </is>
      </c>
    </row>
    <row r="392" ht="91" customHeight="1" s="7">
      <c r="A392" s="16" t="inlineStr">
        <is>
          <t>Credential Access</t>
        </is>
      </c>
      <c r="B392" s="16" t="inlineStr">
        <is>
          <t>T1552</t>
        </is>
      </c>
      <c r="C392" s="16" t="inlineStr">
        <is>
          <t>Unsecured Credentials</t>
        </is>
      </c>
      <c r="D392" s="16" t="inlineStr">
        <is>
          <t>T1552.001</t>
        </is>
      </c>
      <c r="E392" s="16" t="inlineStr">
        <is>
          <t>Credentials In Files</t>
        </is>
      </c>
      <c r="F392" s="16" t="inlineStr">
        <is>
          <t>Partial</t>
        </is>
      </c>
      <c r="G392"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2" s="16" t="n"/>
      <c r="I392" s="16" t="n"/>
      <c r="J392" s="16" t="n"/>
      <c r="K392" s="16" t="n"/>
      <c r="L392" s="16" t="inlineStr">
        <is>
          <t>https://attack.mitre.org/techniques/T1552</t>
        </is>
      </c>
    </row>
    <row r="393" ht="91" customHeight="1" s="7">
      <c r="A393" s="16" t="inlineStr">
        <is>
          <t>Credential Access</t>
        </is>
      </c>
      <c r="B393" s="16" t="inlineStr">
        <is>
          <t>T1552</t>
        </is>
      </c>
      <c r="C393" s="16" t="inlineStr">
        <is>
          <t>Unsecured Credentials</t>
        </is>
      </c>
      <c r="D393" s="16" t="inlineStr">
        <is>
          <t>T1552.002</t>
        </is>
      </c>
      <c r="E393" s="16" t="inlineStr">
        <is>
          <t>Credentials in Registry</t>
        </is>
      </c>
      <c r="F393" s="16" t="inlineStr">
        <is>
          <t>Partial</t>
        </is>
      </c>
      <c r="G393"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3" s="16" t="n"/>
      <c r="I393" s="16" t="n"/>
      <c r="J393" s="16" t="n"/>
      <c r="K393" s="16" t="n"/>
      <c r="L393" s="16" t="inlineStr">
        <is>
          <t>https://attack.mitre.org/techniques/T1552</t>
        </is>
      </c>
    </row>
    <row r="394" ht="91" customHeight="1" s="7">
      <c r="A394" s="16" t="inlineStr">
        <is>
          <t>Credential Access</t>
        </is>
      </c>
      <c r="B394" s="16" t="inlineStr">
        <is>
          <t>T1552</t>
        </is>
      </c>
      <c r="C394" s="16" t="inlineStr">
        <is>
          <t>Unsecured Credentials</t>
        </is>
      </c>
      <c r="D394" s="16" t="inlineStr">
        <is>
          <t>T1552.003</t>
        </is>
      </c>
      <c r="E394" s="16" t="inlineStr">
        <is>
          <t>Bash History</t>
        </is>
      </c>
      <c r="F394" s="16" t="inlineStr">
        <is>
          <t>Partial</t>
        </is>
      </c>
      <c r="G394"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4" s="16" t="n"/>
      <c r="I394" s="16" t="n"/>
      <c r="J394" s="16" t="n"/>
      <c r="K394" s="16" t="n"/>
      <c r="L394" s="16" t="inlineStr">
        <is>
          <t>https://attack.mitre.org/techniques/T1552</t>
        </is>
      </c>
    </row>
    <row r="395" ht="91" customHeight="1" s="7">
      <c r="A395" s="16" t="inlineStr">
        <is>
          <t>Credential Access</t>
        </is>
      </c>
      <c r="B395" s="16" t="inlineStr">
        <is>
          <t>T1552</t>
        </is>
      </c>
      <c r="C395" s="16" t="inlineStr">
        <is>
          <t>Unsecured Credentials</t>
        </is>
      </c>
      <c r="D395" s="16" t="inlineStr">
        <is>
          <t>T1552.004</t>
        </is>
      </c>
      <c r="E395" s="16" t="inlineStr">
        <is>
          <t>Private Keys</t>
        </is>
      </c>
      <c r="F395" s="16" t="inlineStr">
        <is>
          <t>Partial</t>
        </is>
      </c>
      <c r="G395"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5" s="16" t="n"/>
      <c r="I395" s="16" t="n"/>
      <c r="J395" s="16" t="n"/>
      <c r="K395" s="16" t="n"/>
      <c r="L395" s="16" t="inlineStr">
        <is>
          <t>https://attack.mitre.org/techniques/T1552</t>
        </is>
      </c>
    </row>
    <row r="396" ht="91" customHeight="1" s="7">
      <c r="A396" s="16" t="inlineStr">
        <is>
          <t>Credential Access</t>
        </is>
      </c>
      <c r="B396" s="16" t="inlineStr">
        <is>
          <t>T1552</t>
        </is>
      </c>
      <c r="C396" s="16" t="inlineStr">
        <is>
          <t>Unsecured Credentials</t>
        </is>
      </c>
      <c r="D396" s="16" t="inlineStr">
        <is>
          <t>T1552.005</t>
        </is>
      </c>
      <c r="E396" s="16" t="inlineStr">
        <is>
          <t>Cloud Instance Metadata API</t>
        </is>
      </c>
      <c r="F396" s="16" t="inlineStr">
        <is>
          <t>Partial</t>
        </is>
      </c>
      <c r="G396"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6" s="16" t="n"/>
      <c r="I396" s="16" t="n"/>
      <c r="J396" s="16" t="n"/>
      <c r="K396" s="16" t="n"/>
      <c r="L396" s="16" t="inlineStr">
        <is>
          <t>https://attack.mitre.org/techniques/T1552</t>
        </is>
      </c>
    </row>
    <row r="397" ht="91" customHeight="1" s="7">
      <c r="A397" s="16" t="inlineStr">
        <is>
          <t>Credential Access</t>
        </is>
      </c>
      <c r="B397" s="16" t="inlineStr">
        <is>
          <t>T1552</t>
        </is>
      </c>
      <c r="C397" s="16" t="inlineStr">
        <is>
          <t>Unsecured Credentials</t>
        </is>
      </c>
      <c r="D397" s="16" t="inlineStr">
        <is>
          <t>T1552.006</t>
        </is>
      </c>
      <c r="E397" s="16" t="inlineStr">
        <is>
          <t>Group Policy Preferences</t>
        </is>
      </c>
      <c r="F397" s="16" t="inlineStr">
        <is>
          <t>Partial</t>
        </is>
      </c>
      <c r="G397"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7" s="16" t="n"/>
      <c r="I397" s="16" t="n"/>
      <c r="J397" s="16" t="n"/>
      <c r="K397" s="16" t="n"/>
      <c r="L397" s="16" t="inlineStr">
        <is>
          <t>https://attack.mitre.org/techniques/T1552</t>
        </is>
      </c>
    </row>
    <row r="398" ht="91" customHeight="1" s="7">
      <c r="A398" s="16" t="inlineStr">
        <is>
          <t>Credential Access</t>
        </is>
      </c>
      <c r="B398" s="16" t="inlineStr">
        <is>
          <t>T1552</t>
        </is>
      </c>
      <c r="C398" s="16" t="inlineStr">
        <is>
          <t>Unsecured Credentials</t>
        </is>
      </c>
      <c r="D398" s="16" t="inlineStr">
        <is>
          <t>T1552.007</t>
        </is>
      </c>
      <c r="E398" s="16" t="inlineStr">
        <is>
          <t>Container API</t>
        </is>
      </c>
      <c r="F398" s="16" t="inlineStr">
        <is>
          <t>Partial</t>
        </is>
      </c>
      <c r="G398"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8" s="16" t="n"/>
      <c r="I398" s="16" t="n"/>
      <c r="J398" s="16" t="n"/>
      <c r="K398" s="16" t="n"/>
      <c r="L398" s="16" t="inlineStr">
        <is>
          <t>https://attack.mitre.org/techniques/T1552</t>
        </is>
      </c>
    </row>
    <row r="399" ht="91" customHeight="1" s="7">
      <c r="A399" s="16" t="inlineStr">
        <is>
          <t>Credential Access</t>
        </is>
      </c>
      <c r="B399" s="16" t="inlineStr">
        <is>
          <t>T1552</t>
        </is>
      </c>
      <c r="C399" s="16" t="inlineStr">
        <is>
          <t>Unsecured Credentials</t>
        </is>
      </c>
      <c r="D399" s="16" t="inlineStr">
        <is>
          <t>T1552.008</t>
        </is>
      </c>
      <c r="E399" s="16" t="inlineStr">
        <is>
          <t>Chat Messages</t>
        </is>
      </c>
      <c r="F399" s="16" t="inlineStr">
        <is>
          <t>Partial</t>
        </is>
      </c>
      <c r="G399" s="16" t="inlineStr">
        <is>
          <t>Commonality: In DID systems as well, if credential material is stored on the user's local device in plaintext or in an unprotected form, an attacker can search for and steal it.
Differences: Unsecured Credentials: credentials (passwords, API keys, tokens, etc.) are stored in plaintext or unencrypted form in files on the system (.env, logs, registry, history, etc.); DID: authentication credentials (VCs, VPs) are by default stored encrypted in secure storage on the user's device (e.g., a mobile wallet app, HSM).</t>
        </is>
      </c>
      <c r="H399" s="16" t="n"/>
      <c r="I399" s="16" t="n"/>
      <c r="J399" s="16" t="n"/>
      <c r="K399" s="16" t="n"/>
      <c r="L399" s="16" t="inlineStr">
        <is>
          <t>https://attack.mitre.org/techniques/T1552</t>
        </is>
      </c>
    </row>
    <row r="400" ht="214.15" customHeight="1" s="7">
      <c r="A400" s="16" t="inlineStr">
        <is>
          <t>Defense Evasion</t>
        </is>
      </c>
      <c r="B400" s="16" t="inlineStr">
        <is>
          <t>T1548</t>
        </is>
      </c>
      <c r="C400" s="16" t="inlineStr">
        <is>
          <t>Abuse Elevation Control Mechanism</t>
        </is>
      </c>
      <c r="D400" s="16" t="inlineStr">
        <is>
          <t>T1548.001</t>
        </is>
      </c>
      <c r="E400" s="16" t="inlineStr">
        <is>
          <t>Setuid and Setgid</t>
        </is>
      </c>
      <c r="F400" s="16" t="inlineStr">
        <is>
          <t>Partial</t>
        </is>
      </c>
      <c r="G400" s="16" t="inlineStr">
        <is>
          <t>Traditional OS-based privilege escalation (UAC, sudo, etc.) does not apply directly to the DID system itself, but privilege abuse based on similar concepts can occur, so there is partial alignment.
- Privilege escalation can occur indirectly in the wallet signature → VC issuance → API call flow (e.g., a VC issuer holds higher privileges than a Verifier).
- If a cloud-based DID Agent internally uses IAM Role- or policy-based privilege elevation, an attacker can abuse it.
- In particular, in container-based deployment environments (K8s, Docker), command privileges may be escalated at the entrypoint or at runtime.
Structural relevance:
- DID Agent server (container-based): High (root privileges can be obtained via the entrypoint script or at execution time).
- VC issuer and verifier (IAM role-separated environments): Medium (a VC issuance request can induce internal approval through an IAM Role).
- Wallet signature → API call flow: Medium (a signature alone may bypass higher-privilege functions such as VIP VC issuance).</t>
        </is>
      </c>
      <c r="H400" s="16" t="inlineStr">
        <is>
          <t>1. Functions are restricted according to privilege, and the attacker attempts to bypass this to execute higher-privilege functions.
2. Some components of the system are built with role separation, so functions can be executed by bypassing IAM or policies.
3. Cloud-based DID systems internally include privilege-elevation flows such as IAM Roles, policies, and token exchange.</t>
        </is>
      </c>
      <c r="I400" s="16" t="inlineStr">
        <is>
          <t>DID system</t>
        </is>
      </c>
      <c r="J400" s="16" t="inlineStr">
        <is>
          <t>1. For VC issuance requests, role-based access control (RBAC) should be strengthened at the API Gateway or Agent, and approval conditions should be specified through behavior-based policies.
2. Functions that require elevated privileges (e.g., issuing status-change VCs, registering authenticators) should be changed to multi-signature request approval or workflow-triggered approval.
3. Apply the Least Privilege Principle to prevent a DID Wallet or Client from delegating excessive privileges to APIs.
4. When running Agent containers, prevent execution with root privileges, verify the entrypoint, and require signed images.
5. Collect logs of IAM role changes and AssumedRole calls and link them to real-time behavioral anomaly detection.</t>
        </is>
      </c>
      <c r="K400" s="16" t="n"/>
      <c r="L400" s="16" t="inlineStr">
        <is>
          <t>https://attack.mitre.org/techniques/T1548</t>
        </is>
      </c>
    </row>
    <row r="401" ht="214.15" customHeight="1" s="7">
      <c r="A401" s="16" t="inlineStr">
        <is>
          <t>Defense Evasion</t>
        </is>
      </c>
      <c r="B401" s="16" t="inlineStr">
        <is>
          <t>T1548</t>
        </is>
      </c>
      <c r="C401" s="16" t="inlineStr">
        <is>
          <t>Abuse Elevation Control Mechanism</t>
        </is>
      </c>
      <c r="D401" s="16" t="inlineStr">
        <is>
          <t>T1548.002</t>
        </is>
      </c>
      <c r="E401" s="16" t="inlineStr">
        <is>
          <t>Bypass User Account Control</t>
        </is>
      </c>
      <c r="F401" s="16" t="inlineStr">
        <is>
          <t>Partial</t>
        </is>
      </c>
      <c r="G401" s="16" t="inlineStr">
        <is>
          <t>Traditional OS-based privilege escalation (UAC, sudo, etc.) does not apply directly to the DID system itself, but privilege abuse based on similar concepts can occur, so there is partial alignment.
- Privilege escalation can occur indirectly in the wallet signature → VC issuance → API call flow (e.g., a VC issuer holds higher privileges than a Verifier).
- If a cloud-based DID Agent internally uses IAM Role- or policy-based privilege elevation, an attacker can abuse it.
- In particular, in container-based deployment environments (K8s, Docker), command privileges may be escalated at the entrypoint or at runtime.
Structural relevance:
- DID Agent server (container-based): High (root privileges can be obtained via the entrypoint script or at execution time).
- VC issuer and verifier (IAM role-separated environments): Medium (a VC issuance request can induce internal approval through an IAM Role).
- Wallet signature → API call flow: Medium (a signature alone may bypass higher-privilege functions such as VIP VC issuance).</t>
        </is>
      </c>
      <c r="H401" s="16" t="inlineStr">
        <is>
          <t>1. Functions are restricted according to privilege, and the attacker attempts to bypass this to execute higher-privilege functions.
2. Some components of the system are built with role separation, so functions can be executed by bypassing IAM or policies.
3. Cloud-based DID systems internally include privilege-elevation flows such as IAM Roles, policies, and token exchange.</t>
        </is>
      </c>
      <c r="I401" s="16" t="inlineStr">
        <is>
          <t>API callers (DID/wallet/issuer/verifier).</t>
        </is>
      </c>
      <c r="J401" s="16" t="inlineStr">
        <is>
          <t>1. For VC issuance requests, role-based access control (RBAC) should be strengthened at the API Gateway or Agent, and approval conditions should be specified through behavior-based policies.
2. Functions that require elevated privileges (e.g., issuing status-change VCs, registering authenticators) should be changed to multi-signature request approval or workflow-triggered approval.
3. Apply the Least Privilege Principle to prevent a DID Wallet or Client from delegating excessive privileges to APIs.
4. When running Agent containers, prevent execution with root privileges, verify the entrypoint, and require signed images.
5. Collect logs of IAM role changes and AssumedRole calls and link them to real-time behavioral anomaly detection.</t>
        </is>
      </c>
      <c r="K401" s="16" t="n"/>
      <c r="L401" s="16" t="inlineStr">
        <is>
          <t>https://attack.mitre.org/techniques/T1548</t>
        </is>
      </c>
    </row>
    <row r="402" ht="214.15" customHeight="1" s="7">
      <c r="A402" s="16" t="inlineStr">
        <is>
          <t>Defense Evasion</t>
        </is>
      </c>
      <c r="B402" s="16" t="inlineStr">
        <is>
          <t>T1548</t>
        </is>
      </c>
      <c r="C402" s="16" t="inlineStr">
        <is>
          <t>Abuse Elevation Control Mechanism</t>
        </is>
      </c>
      <c r="D402" s="16" t="inlineStr">
        <is>
          <t>T1548.003</t>
        </is>
      </c>
      <c r="E402" s="16" t="inlineStr">
        <is>
          <t>Sudo and Sudo Caching</t>
        </is>
      </c>
      <c r="F402" s="16" t="inlineStr">
        <is>
          <t>Partial</t>
        </is>
      </c>
      <c r="G402" s="16" t="inlineStr">
        <is>
          <t>Traditional OS-based privilege escalation (UAC, sudo, etc.) does not apply directly to the DID system itself, but privilege abuse based on similar concepts can occur, so there is partial alignment.
- Privilege escalation can occur indirectly in the wallet signature → VC issuance → API call flow (e.g., a VC issuer holds higher privileges than a Verifier).
- If a cloud-based DID Agent internally uses IAM Role- or policy-based privilege elevation, an attacker can abuse it.
- In particular, in container-based deployment environments (K8s, Docker), command privileges may be escalated at the entrypoint or at runtime.
Structural relevance:
- DID Agent server (container-based): High (root privileges can be obtained via the entrypoint script or at execution time).
- VC issuer and verifier (IAM role-separated environments): Medium (a VC issuance request can induce internal approval through an IAM Role).
- Wallet signature → API call flow: Medium (a signature alone may bypass higher-privilege functions such as VIP VC issuance).</t>
        </is>
      </c>
      <c r="H402" s="16" t="inlineStr">
        <is>
          <t>1. Functions are restricted according to privilege, and the attacker attempts to bypass this to execute higher-privilege functions.
2. Some components of the system are built with role separation, so functions can be executed by bypassing IAM or policies.
3. Cloud-based DID systems internally include privilege-elevation flows such as IAM Roles, policies, and token exchange.</t>
        </is>
      </c>
      <c r="I402" s="16" t="inlineStr">
        <is>
          <t>VC privilege delegation, Agent-internal IAM, and privilege separation in open APIs.</t>
        </is>
      </c>
      <c r="J402" s="16" t="inlineStr">
        <is>
          <t>1. For VC issuance requests, role-based access control (RBAC) should be strengthened at the API Gateway or Agent, and approval conditions should be specified through behavior-based policies.
2. Functions that require elevated privileges (e.g., issuing status-change VCs, registering authenticators) should be changed to multi-signature request approval or workflow-triggered approval.
3. Apply the Least Privilege Principle to prevent a DID Wallet or Client from delegating excessive privileges to APIs.
4. When running Agent containers, prevent execution with root privileges, verify the entrypoint, and require signed images.
5. Collect logs of IAM role changes and AssumedRole calls and link them to real-time behavioral anomaly detection.</t>
        </is>
      </c>
      <c r="K402" s="16" t="n"/>
      <c r="L402" s="16" t="inlineStr">
        <is>
          <t>https://attack.mitre.org/techniques/T1548</t>
        </is>
      </c>
    </row>
    <row r="403" ht="214.15" customHeight="1" s="7">
      <c r="A403" s="16" t="inlineStr">
        <is>
          <t>Defense Evasion</t>
        </is>
      </c>
      <c r="B403" s="16" t="inlineStr">
        <is>
          <t>T1548</t>
        </is>
      </c>
      <c r="C403" s="16" t="inlineStr">
        <is>
          <t>Abuse Elevation Control Mechanism</t>
        </is>
      </c>
      <c r="D403" s="16" t="inlineStr">
        <is>
          <t>T1548.004</t>
        </is>
      </c>
      <c r="E403" s="16" t="inlineStr">
        <is>
          <t>Elevated Execution with Prompt</t>
        </is>
      </c>
      <c r="F403" s="16" t="inlineStr">
        <is>
          <t>Partial</t>
        </is>
      </c>
      <c r="G403" s="16" t="inlineStr">
        <is>
          <t>Traditional OS-based privilege escalation (UAC, sudo, etc.) does not apply directly to the DID system itself, but privilege abuse based on similar concepts can occur, so there is partial alignment.
- Privilege escalation can occur indirectly in the wallet signature → VC issuance → API call flow (e.g., a VC issuer holds higher privileges than a Verifier).
- If a cloud-based DID Agent internally uses IAM Role- or policy-based privilege elevation, an attacker can abuse it.
- In particular, in container-based deployment environments (K8s, Docker), command privileges may be escalated at the entrypoint or at runtime.
Structural relevance:
- DID Agent server (container-based): High (root privileges can be obtained via the entrypoint script or at execution time).
- VC issuer and verifier (IAM role-separated environments): Medium (a VC issuance request can induce internal approval through an IAM Role).
- Wallet signature → API call flow: Medium (a signature alone may bypass higher-privilege functions such as VIP VC issuance).</t>
        </is>
      </c>
      <c r="H403" s="16" t="inlineStr">
        <is>
          <t>1. Functions are restricted according to privilege, and the attacker attempts to bypass this to execute higher-privilege functions.
2. Some components of the system are built with role separation, so functions can be executed by bypassing IAM or policies.
3. Cloud-based DID systems internally include privilege-elevation flows such as IAM Roles, policies, and token exchange.</t>
        </is>
      </c>
      <c r="I403" s="16" t="inlineStr">
        <is>
          <t>Privilege masquerading through manipulation of API signatures or metadata.</t>
        </is>
      </c>
      <c r="J403" s="16" t="inlineStr">
        <is>
          <t>1. For VC issuance requests, role-based access control (RBAC) should be strengthened at the API Gateway or Agent, and approval conditions should be specified through behavior-based policies.
2. Functions that require elevated privileges (e.g., issuing status-change VCs, registering authenticators) should be changed to multi-signature request approval or workflow-triggered approval.
3. Apply the Least Privilege Principle to prevent a DID Wallet or Client from delegating excessive privileges to APIs.
4. When running Agent containers, prevent execution with root privileges, verify the entrypoint, and require signed images.
5. Collect logs of IAM role changes and AssumedRole calls and link them to real-time behavioral anomaly detection.</t>
        </is>
      </c>
      <c r="K403" s="16" t="n"/>
      <c r="L403" s="16" t="inlineStr">
        <is>
          <t>https://attack.mitre.org/techniques/T1548</t>
        </is>
      </c>
    </row>
    <row r="404" ht="214.15" customHeight="1" s="7">
      <c r="A404" s="16" t="inlineStr">
        <is>
          <t>Defense Evasion</t>
        </is>
      </c>
      <c r="B404" s="16" t="inlineStr">
        <is>
          <t>T1548</t>
        </is>
      </c>
      <c r="C404" s="16" t="inlineStr">
        <is>
          <t>Abuse Elevation Control Mechanism</t>
        </is>
      </c>
      <c r="D404" s="16" t="n"/>
      <c r="E404" s="16" t="inlineStr">
        <is>
          <t>Elevated Execution without Prompt</t>
        </is>
      </c>
      <c r="F404" s="16" t="inlineStr">
        <is>
          <t>Partial</t>
        </is>
      </c>
      <c r="G404" s="16" t="inlineStr">
        <is>
          <t>Traditional OS-based privilege escalation (UAC, sudo, etc.) does not apply directly to the DID system itself, but privilege abuse based on similar concepts can occur, so there is partial alignment.
- Privilege escalation can occur indirectly in the wallet signature → VC issuance → API call flow (e.g., a VC issuer holds higher privileges than a Verifier).
- If a cloud-based DID Agent internally uses IAM Role- or policy-based privilege elevation, an attacker can abuse it.
- In particular, in container-based deployment environments (K8s, Docker), command privileges may be escalated at the entrypoint or at runtime.
Structural relevance:
- DID Agent server (container-based): High (root privileges can be obtained via the entrypoint script or at execution time).
- VC issuer and verifier (IAM role-separated environments): Medium (a VC issuance request can induce internal approval through an IAM Role).
- Wallet signature → API call flow: Medium (a signature alone may bypass higher-privilege functions such as VIP VC issuance).</t>
        </is>
      </c>
      <c r="H404" s="16" t="inlineStr">
        <is>
          <t>1. Functions are restricted according to privilege, and the attacker attempts to bypass this to execute higher-privilege functions.
2. Some components of the system are built with role separation, so functions can be executed by bypassing IAM or policies.
3. Cloud-based DID systems internally include privilege-elevation flows such as IAM Roles, policies, and token exchange.</t>
        </is>
      </c>
      <c r="I404" s="16" t="inlineStr">
        <is>
          <t>Requires analysis of parameters and context in DID call logs.</t>
        </is>
      </c>
      <c r="J404" s="16" t="inlineStr">
        <is>
          <t>1. For VC issuance requests, role-based access control (RBAC) should be strengthened at the API Gateway or Agent, and approval conditions should be specified through behavior-based policies.
2. Functions that require elevated privileges (e.g., issuing status-change VCs, registering authenticators) should be changed to multi-signature request approval or workflow-triggered approval.
3. Apply the Least Privilege Principle to prevent a DID Wallet or Client from delegating excessive privileges to APIs.
4. When running Agent containers, prevent execution with root privileges, verify the entrypoint, and require signed images.
5. Collect logs of IAM role changes and AssumedRole calls and link them to real-time behavioral anomaly detection.</t>
        </is>
      </c>
      <c r="K404" s="16" t="inlineStr">
        <is>
          <t>"Elevated Execution without Prompt" is not a v17 sub-technique of T1548; kept as analyzed</t>
        </is>
      </c>
      <c r="L404" s="16" t="inlineStr">
        <is>
          <t>https://attack.mitre.org/techniques/T1548</t>
        </is>
      </c>
    </row>
    <row r="405" ht="214.15" customHeight="1" s="7">
      <c r="A405" s="16" t="inlineStr">
        <is>
          <t>Defense Evasion</t>
        </is>
      </c>
      <c r="B405" s="16" t="inlineStr">
        <is>
          <t>T1548</t>
        </is>
      </c>
      <c r="C405" s="16" t="inlineStr">
        <is>
          <t>Abuse Elevation Control Mechanism</t>
        </is>
      </c>
      <c r="D405" s="16" t="n"/>
      <c r="E405" s="16" t="inlineStr">
        <is>
          <t>Plausible Elevation Prompt</t>
        </is>
      </c>
      <c r="F405" s="16" t="inlineStr">
        <is>
          <t>Partial</t>
        </is>
      </c>
      <c r="G405" s="16" t="inlineStr">
        <is>
          <t>Traditional OS-based privilege escalation (UAC, sudo, etc.) does not apply directly to the DID system itself, but privilege abuse based on similar concepts can occur, so there is partial alignment.
- Privilege escalation can occur indirectly in the wallet signature → VC issuance → API call flow (e.g., a VC issuer holds higher privileges than a Verifier).
- If a cloud-based DID Agent internally uses IAM Role- or policy-based privilege elevation, an attacker can abuse it.
- In particular, in container-based deployment environments (K8s, Docker), command privileges may be escalated at the entrypoint or at runtime.
Structural relevance:
- DID Agent server (container-based): High (root privileges can be obtained via the entrypoint script or at execution time).
- VC issuer and verifier (IAM role-separated environments): Medium (a VC issuance request can induce internal approval through an IAM Role).
- Wallet signature → API call flow: Medium (a signature alone may bypass higher-privilege functions such as VIP VC issuance).</t>
        </is>
      </c>
      <c r="H405" s="16" t="inlineStr">
        <is>
          <t>1. Functions are restricted according to privilege, and the attacker attempts to bypass this to execute higher-privilege functions.
2. Some components of the system are built with role separation, so functions can be executed by bypassing IAM or policies.
3. Cloud-based DID systems internally include privilege-elevation flows such as IAM Roles, policies, and token exchange.</t>
        </is>
      </c>
      <c r="I405" s="16" t="inlineStr">
        <is>
          <t>Requires analysis of parameters and context in DID call logs.</t>
        </is>
      </c>
      <c r="J405" s="16" t="inlineStr">
        <is>
          <t>1. For VC issuance requests, role-based access control (RBAC) should be strengthened at the API Gateway or Agent, and approval conditions should be specified through behavior-based policies.
2. Functions that require elevated privileges (e.g., issuing status-change VCs, registering authenticators) should be changed to multi-signature request approval or workflow-triggered approval.
3. Apply the Least Privilege Principle to prevent a DID Wallet or Client from delegating excessive privileges to APIs.
4. When running Agent containers, prevent execution with root privileges, verify the entrypoint, and require signed images.
5. Collect logs of IAM role changes and AssumedRole calls and link them to real-time behavioral anomaly detection.</t>
        </is>
      </c>
      <c r="K405" s="16" t="inlineStr">
        <is>
          <t>"Plausible Elevation Prompt" is not a v17 sub-technique of T1548; kept as analyzed</t>
        </is>
      </c>
      <c r="L405" s="16" t="inlineStr">
        <is>
          <t>https://attack.mitre.org/techniques/T1548</t>
        </is>
      </c>
    </row>
    <row r="406" ht="169.4" customHeight="1" s="7">
      <c r="A406" s="16" t="inlineStr">
        <is>
          <t>Defense Evasion</t>
        </is>
      </c>
      <c r="B406" s="16" t="inlineStr">
        <is>
          <t>T1134</t>
        </is>
      </c>
      <c r="C406" s="16" t="inlineStr">
        <is>
          <t>Access Token Manipulation</t>
        </is>
      </c>
      <c r="D406" s="16" t="inlineStr">
        <is>
          <t>T1134.001</t>
        </is>
      </c>
      <c r="E406" s="16" t="inlineStr">
        <is>
          <t>Token Impersonation/Theft</t>
        </is>
      </c>
      <c r="F406" s="16" t="inlineStr">
        <is>
          <t>Partial</t>
        </is>
      </c>
      <c r="G406" s="16" t="inlineStr">
        <is>
          <t>DID authentication systems do not use Windows kernel/process privilege tokens, so direct access-token manipulation is not possible; however, threats can arise in analogous structures, so there is partial alignment.
- JWTs, OAuth access tokens, DID Auth tokens, etc. are used in the VC request flow, and if a malicious script or Agent manipulates them, effects similar to authentication bypass or privilege escalation occur.
- In DID systems, the privilege information and status fields contained in the VC itself, rather than the access token, can be manipulated.
Structural relevance:
- DID Wallet (Client): Medium (the wallet stores and signs JWT/DID Auth tokens, which may be stolen).
- DID Agent Server: High (token values can be replaced or tampered with in the VC issuance flow that uses API tokens).
- Credential Status API: Medium (forged VCs or delegation tokens may be used during status verification).</t>
        </is>
      </c>
      <c r="H406" s="16" t="inlineStr">
        <is>
          <t>1. Identifiers, privilege information, validity periods, and status fields contained in a token or VC are manipulated to induce privilege escalation or authentication bypass.
2. A user or Agent can impersonate another subject (e.g., DID A → DID B) and send signed requests.
3. There is a structural similarity in that out-of-context information (tokens, status fields, etc.) affects the actual authentication result.</t>
        </is>
      </c>
      <c r="I406" s="16" t="inlineStr">
        <is>
          <t>DID system</t>
        </is>
      </c>
      <c r="J406" s="16" t="inlineStr">
        <is>
          <t>1. Signature verification, issuer verification, and validity-period verification must be performed for all authentication tokens used in the DID system (JWT, OAuth, DID Auth).
2. Protect the integrity of privilege fields and delegation-target fields in a VC (credentialSubject, holder, audience) with dual verification logic.
3. When an Agent issues or verifies a token or VC, prevent reuse of another user's context through context isolation.
4. At the log level, check for each VC request/response whether the wallet DID, signer, and requester match, in order to detect authentication-impersonation patterns.</t>
        </is>
      </c>
      <c r="K406" s="16" t="n"/>
      <c r="L406" s="16" t="inlineStr">
        <is>
          <t>https://attack.mitre.org/techniques/T1134</t>
        </is>
      </c>
    </row>
    <row r="407" ht="169.4" customHeight="1" s="7">
      <c r="A407" s="16" t="inlineStr">
        <is>
          <t>Defense Evasion</t>
        </is>
      </c>
      <c r="B407" s="16" t="inlineStr">
        <is>
          <t>T1134</t>
        </is>
      </c>
      <c r="C407" s="16" t="inlineStr">
        <is>
          <t>Access Token Manipulation</t>
        </is>
      </c>
      <c r="D407" s="16" t="inlineStr">
        <is>
          <t>T1134.002</t>
        </is>
      </c>
      <c r="E407" s="16" t="inlineStr">
        <is>
          <t>Create Process with Token</t>
        </is>
      </c>
      <c r="F407" s="16" t="inlineStr">
        <is>
          <t>Partial</t>
        </is>
      </c>
      <c r="G407" s="16" t="inlineStr">
        <is>
          <t>DID authentication systems do not use Windows kernel/process privilege tokens, so direct access-token manipulation is not possible; however, threats can arise in analogous structures, so there is partial alignment.
- JWTs, OAuth access tokens, DID Auth tokens, etc. are used in the VC request flow, and if a malicious script or Agent manipulates them, effects similar to authentication bypass or privilege escalation occur.
- In DID systems, the privilege information and status fields contained in the VC itself, rather than the access token, can be manipulated.
Structural relevance:
- DID Wallet (Client): Medium (the wallet stores and signs JWT/DID Auth tokens, which may be stolen).
- DID Agent Server: High (token values can be replaced or tampered with in the VC issuance flow that uses API tokens).
- Credential Status API: Medium (forged VCs or delegation tokens may be used during status verification).</t>
        </is>
      </c>
      <c r="H407" s="16" t="inlineStr">
        <is>
          <t>1. Identifiers, privilege information, validity periods, and status fields contained in a token or VC are manipulated to induce privilege escalation or authentication bypass.
2. A user or Agent can impersonate another subject (e.g., DID A → DID B) and send signed requests.
3. There is a structural similarity in that out-of-context information (tokens, status fields, etc.) affects the actual authentication result.</t>
        </is>
      </c>
      <c r="I407" s="16" t="inlineStr">
        <is>
          <t>External authentication tokens based on VC, JWT, and OAuth.</t>
        </is>
      </c>
      <c r="J407" s="16" t="inlineStr">
        <is>
          <t>1. Signature verification, issuer verification, and validity-period verification must be performed for all authentication tokens used in the DID system (JWT, OAuth, DID Auth).
2. Protect the integrity of privilege fields and delegation-target fields in a VC (credentialSubject, holder, audience) with dual verification logic.
3. When an Agent issues or verifies a token or VC, prevent reuse of another user's context through context isolation.
4. At the log level, check for each VC request/response whether the wallet DID, signer, and requester match, in order to detect authentication-impersonation patterns.</t>
        </is>
      </c>
      <c r="K407" s="16" t="n"/>
      <c r="L407" s="16" t="inlineStr">
        <is>
          <t>https://attack.mitre.org/techniques/T1134</t>
        </is>
      </c>
    </row>
    <row r="408" ht="169.4" customHeight="1" s="7">
      <c r="A408" s="16" t="inlineStr">
        <is>
          <t>Defense Evasion</t>
        </is>
      </c>
      <c r="B408" s="16" t="inlineStr">
        <is>
          <t>T1134</t>
        </is>
      </c>
      <c r="C408" s="16" t="inlineStr">
        <is>
          <t>Access Token Manipulation</t>
        </is>
      </c>
      <c r="D408" s="16" t="inlineStr">
        <is>
          <t>T1134.003</t>
        </is>
      </c>
      <c r="E408" s="16" t="inlineStr">
        <is>
          <t>Make and Impersonate Token</t>
        </is>
      </c>
      <c r="F408" s="16" t="inlineStr">
        <is>
          <t>Partial</t>
        </is>
      </c>
      <c r="G408" s="16" t="inlineStr">
        <is>
          <t>DID authentication systems do not use Windows kernel/process privilege tokens, so direct access-token manipulation is not possible; however, threats can arise in analogous structures, so there is partial alignment.
- JWTs, OAuth access tokens, DID Auth tokens, etc. are used in the VC request flow, and if a malicious script or Agent manipulates them, effects similar to authentication bypass or privilege escalation occur.
- In DID systems, the privilege information and status fields contained in the VC itself, rather than the access token, can be manipulated.
Structural relevance:
- DID Wallet (Client): Medium (the wallet stores and signs JWT/DID Auth tokens, which may be stolen).
- DID Agent Server: High (token values can be replaced or tampered with in the VC issuance flow that uses API tokens).
- Credential Status API: Medium (forged VCs or delegation tokens may be used during status verification).</t>
        </is>
      </c>
      <c r="H408" s="16" t="inlineStr">
        <is>
          <t>1. Identifiers, privilege information, validity periods, and status fields contained in a token or VC are manipulated to induce privilege escalation or authentication bypass.
2. A user or Agent can impersonate another subject (e.g., DID A → DID B) and send signed requests.
3. There is a structural similarity in that out-of-context information (tokens, status fields, etc.) affects the actual authentication result.</t>
        </is>
      </c>
      <c r="I408" s="16" t="inlineStr">
        <is>
          <t>JSON Web Token tampering and wallet signature forgery.</t>
        </is>
      </c>
      <c r="J408" s="16" t="inlineStr">
        <is>
          <t>1. Signature verification, issuer verification, and validity-period verification must be performed for all authentication tokens used in the DID system (JWT, OAuth, DID Auth).
2. Protect the integrity of privilege fields and delegation-target fields in a VC (credentialSubject, holder, audience) with dual verification logic.
3. When an Agent issues or verifies a token or VC, prevent reuse of another user's context through context isolation.
4. At the log level, check for each VC request/response whether the wallet DID, signer, and requester match, in order to detect authentication-impersonation patterns.</t>
        </is>
      </c>
      <c r="K408" s="16" t="n"/>
      <c r="L408" s="16" t="inlineStr">
        <is>
          <t>https://attack.mitre.org/techniques/T1134</t>
        </is>
      </c>
    </row>
    <row r="409" ht="169.4" customHeight="1" s="7">
      <c r="A409" s="16" t="inlineStr">
        <is>
          <t>Defense Evasion</t>
        </is>
      </c>
      <c r="B409" s="16" t="inlineStr">
        <is>
          <t>T1134</t>
        </is>
      </c>
      <c r="C409" s="16" t="inlineStr">
        <is>
          <t>Access Token Manipulation</t>
        </is>
      </c>
      <c r="D409" s="16" t="inlineStr">
        <is>
          <t>T1134.004</t>
        </is>
      </c>
      <c r="E409" s="16" t="inlineStr">
        <is>
          <t>Parent PID Spoofing</t>
        </is>
      </c>
      <c r="F409" s="16" t="inlineStr">
        <is>
          <t>Partial</t>
        </is>
      </c>
      <c r="G409" s="16" t="inlineStr">
        <is>
          <t>DID authentication systems do not use Windows kernel/process privilege tokens, so direct access-token manipulation is not possible; however, threats can arise in analogous structures, so there is partial alignment.
- JWTs, OAuth access tokens, DID Auth tokens, etc. are used in the VC request flow, and if a malicious script or Agent manipulates them, effects similar to authentication bypass or privilege escalation occur.
- In DID systems, the privilege information and status fields contained in the VC itself, rather than the access token, can be manipulated.
Structural relevance:
- DID Wallet (Client): Medium (the wallet stores and signs JWT/DID Auth tokens, which may be stolen).
- DID Agent Server: High (token values can be replaced or tampered with in the VC issuance flow that uses API tokens).
- Credential Status API: Medium (forged VCs or delegation tokens may be used during status verification).</t>
        </is>
      </c>
      <c r="H409" s="16" t="inlineStr">
        <is>
          <t>1. Identifiers, privilege information, validity periods, and status fields contained in a token or VC are manipulated to induce privilege escalation or authentication bypass.
2. A user or Agent can impersonate another subject (e.g., DID A → DID B) and send signed requests.
3. There is a structural similarity in that out-of-context information (tokens, status fields, etc.) affects the actual authentication result.</t>
        </is>
      </c>
      <c r="I409" s="16" t="inlineStr">
        <is>
          <t>Requesting VCs while impersonating another DID; abuse of administrative functions.</t>
        </is>
      </c>
      <c r="J409" s="16" t="inlineStr">
        <is>
          <t>1. Signature verification, issuer verification, and validity-period verification must be performed for all authentication tokens used in the DID system (JWT, OAuth, DID Auth).
2. Protect the integrity of privilege fields and delegation-target fields in a VC (credentialSubject, holder, audience) with dual verification logic.
3. When an Agent issues or verifies a token or VC, prevent reuse of another user's context through context isolation.
4. At the log level, check for each VC request/response whether the wallet DID, signer, and requester match, in order to detect authentication-impersonation patterns.</t>
        </is>
      </c>
      <c r="K409" s="16" t="n"/>
      <c r="L409" s="16" t="inlineStr">
        <is>
          <t>https://attack.mitre.org/techniques/T1134</t>
        </is>
      </c>
    </row>
    <row r="410" ht="169.4" customHeight="1" s="7">
      <c r="A410" s="16" t="inlineStr">
        <is>
          <t>Defense Evasion</t>
        </is>
      </c>
      <c r="B410" s="16" t="inlineStr">
        <is>
          <t>T1134</t>
        </is>
      </c>
      <c r="C410" s="16" t="inlineStr">
        <is>
          <t>Access Token Manipulation</t>
        </is>
      </c>
      <c r="D410" s="16" t="inlineStr">
        <is>
          <t>T1134.005</t>
        </is>
      </c>
      <c r="E410" s="16" t="inlineStr">
        <is>
          <t>SID-History Injection</t>
        </is>
      </c>
      <c r="F410" s="16" t="inlineStr">
        <is>
          <t>Partial</t>
        </is>
      </c>
      <c r="G410" s="16" t="inlineStr">
        <is>
          <t>DID authentication systems do not use Windows kernel/process privilege tokens, so direct access-token manipulation is not possible; however, threats can arise in analogous structures, so there is partial alignment.
- JWTs, OAuth access tokens, DID Auth tokens, etc. are used in the VC request flow, and if a malicious script or Agent manipulates them, effects similar to authentication bypass or privilege escalation occur.
- In DID systems, the privilege information and status fields contained in the VC itself, rather than the access token, can be manipulated.
Structural relevance:
- DID Wallet (Client): Medium (the wallet stores and signs JWT/DID Auth tokens, which may be stolen).
- DID Agent Server: High (token values can be replaced or tampered with in the VC issuance flow that uses API tokens).
- Credential Status API: Medium (forged VCs or delegation tokens may be used during status verification).</t>
        </is>
      </c>
      <c r="H410" s="16" t="inlineStr">
        <is>
          <t>1. Identifiers, privilege information, validity periods, and status fields contained in a token or VC are manipulated to induce privilege escalation or authentication bypass.
2. A user or Agent can impersonate another subject (e.g., DID A → DID B) and send signed requests.
3. There is a structural similarity in that out-of-context information (tokens, status fields, etc.) affects the actual authentication result.</t>
        </is>
      </c>
      <c r="I410" s="16" t="inlineStr">
        <is>
          <t>VC log correlation analysis and detection of token forgery/tampering.</t>
        </is>
      </c>
      <c r="J410" s="16" t="inlineStr">
        <is>
          <t>1. Signature verification, issuer verification, and validity-period verification must be performed for all authentication tokens used in the DID system (JWT, OAuth, DID Auth).
2. Protect the integrity of privilege fields and delegation-target fields in a VC (credentialSubject, holder, audience) with dual verification logic.
3. When an Agent issues or verifies a token or VC, prevent reuse of another user's context through context isolation.
4. At the log level, check for each VC request/response whether the wallet DID, signer, and requester match, in order to detect authentication-impersonation patterns.</t>
        </is>
      </c>
      <c r="K410" s="16" t="n"/>
      <c r="L410" s="16" t="inlineStr">
        <is>
          <t>https://attack.mitre.org/techniques/T1134</t>
        </is>
      </c>
    </row>
    <row r="411" ht="124.6" customHeight="1" s="7">
      <c r="A411" s="16" t="inlineStr">
        <is>
          <t>Defense Evasion</t>
        </is>
      </c>
      <c r="B411" s="16" t="inlineStr">
        <is>
          <t>T1197</t>
        </is>
      </c>
      <c r="C411" s="16" t="inlineStr">
        <is>
          <t>BITS Jobs</t>
        </is>
      </c>
      <c r="D411" s="16" t="n"/>
      <c r="E411" s="16" t="n"/>
      <c r="F411" s="16" t="inlineStr">
        <is>
          <t>No</t>
        </is>
      </c>
      <c r="G411" s="16" t="inlineStr">
        <is>
          <t>BITS is a Windows-specific feature for file transfer and scheduled execution and is not structurally related to the components of a DID system (Client/Agent/API/Smart Contract, etc.). DID authentication systems do not use OS-internal scheduling services or background job queues such as BITS; most operate on serverless functions, RESTful APIs, or on-chain triggers. DID systems are built on request-response triggers rather than scheduled execution, and no OS-level job queue (BITS) exists. However, some DID systems may perform renewal triggers or validity updates through asynchronous scheduling, so a limited conceptual similarity exists, but the implementation structure is entirely different.</t>
        </is>
      </c>
      <c r="H411" s="16" t="inlineStr">
        <is>
          <t>-</t>
        </is>
      </c>
      <c r="I411" s="16" t="inlineStr">
        <is>
          <t>DID system</t>
        </is>
      </c>
      <c r="J411" s="16" t="inlineStr">
        <is>
          <t>-</t>
        </is>
      </c>
      <c r="K411" s="16" t="n"/>
      <c r="L411" s="16" t="inlineStr">
        <is>
          <t>https://attack.mitre.org/techniques/T1197</t>
        </is>
      </c>
    </row>
    <row r="412" ht="158.2" customHeight="1" s="7">
      <c r="A412" s="16" t="inlineStr">
        <is>
          <t>Defense Evasion</t>
        </is>
      </c>
      <c r="B412" s="16" t="inlineStr">
        <is>
          <t>T1612</t>
        </is>
      </c>
      <c r="C412" s="16" t="inlineStr">
        <is>
          <t>Build Image on Host</t>
        </is>
      </c>
      <c r="D412" s="16" t="n"/>
      <c r="E412" s="16" t="n"/>
      <c r="F412" s="16" t="inlineStr">
        <is>
          <t>Partial</t>
        </is>
      </c>
      <c r="G412" s="16" t="inlineStr">
        <is>
          <t>When a DID authentication system is built on a microservice-based container architecture (Docker, Kubernetes, etc.), a scenario in which an attacker accesses the Docker Daemon or Kubernetes API Server and directly builds a malicious image is quite realistic and can compromise the integrity and authentication trustworthiness of DID components. This technique is especially threatening in architectures where core components such as the Credential Status API, VC issuer, and DID Resolver are deployed as containers.
Structural relevance:
- DID Wallet (Client): Low (local-app-centric structure unrelated to Docker).
- DID Agent Server: High (often built as Docker-based microservices).
- Credential Status API: High (API servers are often deployed as containers).</t>
        </is>
      </c>
      <c r="H412" s="16" t="inlineStr">
        <is>
          <t>1. In container-based deployment environments, images can be created and executed dynamically.
2. An attacker can send image build requests remotely through the API.
3. Building from legitimate base images (alpine, ubuntu, etc.) enables detection evasion.
4. Static analysis is difficult before execution, so behavior-based detection after execution is required.</t>
        </is>
      </c>
      <c r="I412" s="16" t="inlineStr">
        <is>
          <t>DID system</t>
        </is>
      </c>
      <c r="J412" s="16" t="inlineStr">
        <is>
          <t>1. In production environments, restrict access privileges to the Docker API and block unauthorized access through TLS authentication.
2. Automate auditing of image build history in the CI/CD pipeline and perform image-hash-based verification.
3. Strengthen detection of abnormal image execution using container runtime integrity tools (e.g., Falco, AppArmor).
4. In Kubernetes environments, prevent creation of privileged containers with PodSecurityPolicy or Pod Security Standards.</t>
        </is>
      </c>
      <c r="K412" s="16" t="n"/>
      <c r="L412" s="16" t="inlineStr">
        <is>
          <t>https://attack.mitre.org/techniques/T1612</t>
        </is>
      </c>
    </row>
    <row r="413" ht="46.25" customHeight="1" s="7">
      <c r="A413" s="16" t="inlineStr">
        <is>
          <t>Defense Evasion</t>
        </is>
      </c>
      <c r="B413" s="16" t="inlineStr">
        <is>
          <t>T1622</t>
        </is>
      </c>
      <c r="C413" s="16" t="inlineStr">
        <is>
          <t>Debugger Evasion</t>
        </is>
      </c>
      <c r="D413" s="16" t="n"/>
      <c r="E413" s="16" t="n"/>
      <c r="F413" s="16" t="inlineStr">
        <is>
          <t>No</t>
        </is>
      </c>
      <c r="G413" s="16" t="inlineStr">
        <is>
          <t>Debugger evasion applies at the level of protecting user-device apps rather than to the structural elements of the DID authentication system, and its direct link to system-level authentication forgery is weak. It is therefore judged a mismatch under the structural-alignment criterion.</t>
        </is>
      </c>
      <c r="H413" s="16" t="inlineStr">
        <is>
          <t>-</t>
        </is>
      </c>
      <c r="I413" s="16" t="inlineStr">
        <is>
          <t>DID system</t>
        </is>
      </c>
      <c r="J413" s="16" t="inlineStr">
        <is>
          <t>-</t>
        </is>
      </c>
      <c r="K413" s="16" t="n"/>
      <c r="L413" s="16" t="inlineStr">
        <is>
          <t>https://attack.mitre.org/techniques/T1622</t>
        </is>
      </c>
    </row>
    <row r="414" ht="147" customHeight="1" s="7">
      <c r="A414" s="16" t="inlineStr">
        <is>
          <t>Defense Evasion</t>
        </is>
      </c>
      <c r="B414" s="16" t="inlineStr">
        <is>
          <t>T1140</t>
        </is>
      </c>
      <c r="C414" s="16" t="inlineStr">
        <is>
          <t>Deobfuscate/Decode Files or Information</t>
        </is>
      </c>
      <c r="D414" s="16" t="n"/>
      <c r="E414" s="16" t="n"/>
      <c r="F414" s="16" t="inlineStr">
        <is>
          <t>Partial</t>
        </is>
      </c>
      <c r="G414" s="16" t="inlineStr">
        <is>
          <t>Traditional PE executables or malicious scripts occur only to a limited extent within DID authentication systems, but activities such as encryption/decoding of signed data (VC, JWT, JSON-LD, etc.) or concealment of unauthorized tampering before and after VC processing can occur in a context similar to this technique.
Structural relevance:
- DID Wallet (Client): Medium (JavaScript-based JSON parser and JWT decoding).
- DID Agent Server: High (Python/Node.js-based VC parsing and preprocessing).
- CredentialStatus API: High (Base64 decoding and hash-based VC integrity verification).</t>
        </is>
      </c>
      <c r="H414" s="16" t="inlineStr">
        <is>
          <t>1. The data itself is obfuscated, but it is exposed in the execution environment at the point of decoding during processing.
2. Decoded VCs, JWTs, key information, etc. can directly affect the authentication logic flow.
3. The decoding tool itself can be hidden, or utilities present on the server (e.g., base64, openssl) can be abused.</t>
        </is>
      </c>
      <c r="I414" s="16" t="inlineStr">
        <is>
          <t>DID system</t>
        </is>
      </c>
      <c r="J414" s="16" t="inlineStr">
        <is>
          <t>1. When decoding VCs or processing JWTs, decoding history (logs) should be recorded separately, and unauthorized decoding attempts should be recorded through behavior-based detection.
2. A policy is needed to ignore any decoded VC or key value that does not pass signature verification.
3. The usage history of simple decoding utilities such as Base64 and JWT should be included in audit logs and mapped to the associated authentication requests on an event basis so that it can be analyzed.</t>
        </is>
      </c>
      <c r="K414" s="16" t="n"/>
      <c r="L414" s="16" t="inlineStr">
        <is>
          <t>https://attack.mitre.org/techniques/T1140</t>
        </is>
      </c>
    </row>
    <row r="415" ht="147" customHeight="1" s="7">
      <c r="A415" s="16" t="inlineStr">
        <is>
          <t>Defense Evasion</t>
        </is>
      </c>
      <c r="B415" s="16" t="inlineStr">
        <is>
          <t>T1610</t>
        </is>
      </c>
      <c r="C415" s="16" t="inlineStr">
        <is>
          <t>Deploy Container</t>
        </is>
      </c>
      <c r="D415" s="16" t="n"/>
      <c r="E415" s="16" t="n"/>
      <c r="F415" s="16" t="inlineStr">
        <is>
          <t>Partial</t>
        </is>
      </c>
      <c r="G415" s="16" t="inlineStr">
        <is>
          <t>When a DID authentication system operates as container-based microservices, attacks on core services such as the VC issuer, CredentialStatus API, and verifier are possible through deployment of malicious containers. In particular, in Kubernetes environments an attacker can persistently deploy malicious containers as Pods or DaemonSets, so the structural relevance is very high.
Structural relevance:
- DID Wallet (Client): Low (local mobile app/web app, no containers).
- DID Agent Server: High (containerized Node.js/Python services, including OAuth handling).
- VC issuer / CredentialStatus API: Very high (operated as containerized microservices in Kubernetes, with many automated pod-deployment and image-update paths).</t>
        </is>
      </c>
      <c r="H415" s="16" t="inlineStr">
        <is>
          <t>1. In container-based service architectures, an attacker who obtains access privileges to the API server or orchestrator can deploy any image.
2. Authentication forgery is possible by replicating the VC issuance flow or deploying containers containing malicious forged data.
3. If deployed containers are not isolated, host access or lateral movement is possible.</t>
        </is>
      </c>
      <c r="I415" s="16" t="inlineStr">
        <is>
          <t>DID system</t>
        </is>
      </c>
      <c r="J415" s="16" t="inlineStr">
        <is>
          <t>1. For container deployment requests, apply image signature verification and an allowlist of permitted images.
2. Block unauthorized deployment of VC-related microservices through immutable infrastructure and restrictions on serverless deployment environments.
3. Restrict network policies, privileges, mount paths, etc. at the policy level through a Kubernetes Admission Controller.
4. Apply security policies that force VC issuance containers to run with a read-only root filesystem and as a non-root user.</t>
        </is>
      </c>
      <c r="K415" s="16" t="n"/>
      <c r="L415" s="16" t="inlineStr">
        <is>
          <t>https://attack.mitre.org/techniques/T1610</t>
        </is>
      </c>
    </row>
    <row r="416" ht="169.4" customHeight="1" s="7">
      <c r="A416" s="16" t="inlineStr">
        <is>
          <t>Defense Evasion</t>
        </is>
      </c>
      <c r="B416" s="16" t="inlineStr">
        <is>
          <t>T1006</t>
        </is>
      </c>
      <c r="C416" s="16" t="inlineStr">
        <is>
          <t>Direct Volume Access</t>
        </is>
      </c>
      <c r="D416" s="16" t="n"/>
      <c r="E416" s="16" t="n"/>
      <c r="F416" s="16" t="inlineStr">
        <is>
          <t>Partial</t>
        </is>
      </c>
      <c r="G416" s="16" t="inlineStr">
        <is>
          <t>DID authentication systems generally consist of Linux-based microservices running in container or cloud environments rather than Windows-based direct volume access structures. However, a DID system's private keys, VC logs, and state files may be stored in specific directories on physical/virtual disks, in which case an attacker may extract sensitive data indirectly through direct volume access.
Structural relevance:
- DID Wallet (Client): Low (mobile/web-centric, not a local filesystem access structure).
- DID Agent Server: Medium (direct filesystem access is possible when operated in a Windows-based environment).
- CredentialStatus API / VC issuer: Medium (when logs, state files, and key files are stored on local disk).</t>
        </is>
      </c>
      <c r="H416" s="16" t="inlineStr">
        <is>
          <t>1. If the VC store, private key directory, and issuance history logs used by the authentication system reside at specific locations on disk, they can be obtained through direct disk access.
2. In particular, files created during system backup and restore (e.g., shadow copies, log backups) can be abused.</t>
        </is>
      </c>
      <c r="I416" s="16" t="inlineStr">
        <is>
          <t>DID system</t>
        </is>
      </c>
      <c r="J416" s="16" t="inlineStr">
        <is>
          <t>1. Sensitive information (VCs, keys, status caches, etc.) should be stored separately in encrypted external storage (e.g., KMS, Vault) rather than on local disk.
2. Apply file-level access control and encryption to system backups and log storage.
3. In container environments, minimize direct disk access with a read-only root filesystem and tmpfs-based ephemeral storage.
4. Record access logs for operator-accessible directories at the file-handle level to enable anomaly detection.
5. When backup tools are used, introduce behavior-based detection and alerting for shadow copy creation request events.</t>
        </is>
      </c>
      <c r="K416" s="16" t="n"/>
      <c r="L416" s="16" t="inlineStr">
        <is>
          <t>https://attack.mitre.org/techniques/T1006</t>
        </is>
      </c>
    </row>
    <row r="417" ht="158.2" customHeight="1" s="7">
      <c r="A417" s="16" t="inlineStr">
        <is>
          <t>Defense Evasion</t>
        </is>
      </c>
      <c r="B417" s="16" t="inlineStr">
        <is>
          <t>T1484</t>
        </is>
      </c>
      <c r="C417" s="16" t="inlineStr">
        <is>
          <t>Domain or Tenant Policy Modification</t>
        </is>
      </c>
      <c r="D417" s="16" t="inlineStr">
        <is>
          <t>T1484.001</t>
        </is>
      </c>
      <c r="E417" s="16" t="inlineStr">
        <is>
          <t>Group Policy Modification</t>
        </is>
      </c>
      <c r="F417" s="16" t="inlineStr">
        <is>
          <t>Partial</t>
        </is>
      </c>
      <c r="G417" s="16" t="inlineStr">
        <is>
          <t>DID authentication systems have a structure somewhat different from traditional AD-based domain policies or GPO environments. However, recent DID platforms often use cloud-based tenant models (e.g., Veramo, EBSI, DID systems federated with Azure AD), in which case federation manipulation, authentication-flow tampering, and trust-framework forgery are possible through tenant configuration changes, so a certain level of relevance exists.
Structural relevance:
- DID Wallet (Client): Low (individual user devices with no policy-modification privileges).
- DID Agent Server: Medium (may include integrated external IdP or Federation Trust settings).
- CredentialStatus API / VC issuer: Medium (may be affected by tenant policy changes when integrated with an identity management platform).</t>
        </is>
      </c>
      <c r="H417" s="16" t="inlineStr">
        <is>
          <t>1. DID systems integrated with cloud identity platforms (Azure AD, Auth0, Okta, etc.) allow federation changes, trust-root changes, and addition of identity providers through tenant settings.
2. If an attacker adds an arbitrary federated identity provider, external users can authenticate through the attacker's domain and masquerade as legitimate users.
3. Because the authentication flow branches according to policy in the off-chain environment, tenant policy changes can distort the entire authentication flow.</t>
        </is>
      </c>
      <c r="I417" s="16" t="inlineStr">
        <is>
          <t>DID system</t>
        </is>
      </c>
      <c r="J417" s="16" t="inlineStr">
        <is>
          <t>1. Fix the list of Federation IdPs used in the authentication flow with an allowlist.
2. Apply dual administrator approval (MFA + approval log recording) when Federation or tenant settings are changed.
3. Internalize policies for periodic verification and trust assessment of external IdPs and VC issuers.
4. Retain and monitor long-term the logs of IdP registration/change API calls by the DID Agent or verifier.
5. Establish an event log structure that allows tracing back VC authentication performed through a forged Federation path.</t>
        </is>
      </c>
      <c r="K417" s="16" t="n"/>
      <c r="L417" s="16" t="inlineStr">
        <is>
          <t>https://attack.mitre.org/techniques/T1484</t>
        </is>
      </c>
    </row>
    <row r="418" ht="158.2" customHeight="1" s="7">
      <c r="A418" s="16" t="inlineStr">
        <is>
          <t>Defense Evasion</t>
        </is>
      </c>
      <c r="B418" s="16" t="inlineStr">
        <is>
          <t>T1484</t>
        </is>
      </c>
      <c r="C418" s="16" t="inlineStr">
        <is>
          <t>Domain or Tenant Policy Modification</t>
        </is>
      </c>
      <c r="D418" s="16" t="inlineStr">
        <is>
          <t>T1484.002</t>
        </is>
      </c>
      <c r="E418" s="16" t="inlineStr">
        <is>
          <t>Trust Modification</t>
        </is>
      </c>
      <c r="F418" s="16" t="inlineStr">
        <is>
          <t>Partial</t>
        </is>
      </c>
      <c r="G418" s="16" t="inlineStr">
        <is>
          <t>DID authentication systems have a structure somewhat different from traditional AD-based domain policies or GPO environments. However, recent DID platforms often use cloud-based tenant models (e.g., Veramo, EBSI, DID systems federated with Azure AD), in which case federation manipulation, authentication-flow tampering, and trust-framework forgery are possible through tenant configuration changes, so a certain level of relevance exists.
Structural relevance:
- DID Wallet (Client): Low (individual user devices with no policy-modification privileges).
- DID Agent Server: Medium (may include integrated external IdP or Federation Trust settings).
- CredentialStatus API / VC issuer: Medium (may be affected by tenant policy changes when integrated with an identity management platform).</t>
        </is>
      </c>
      <c r="H418" s="16" t="inlineStr">
        <is>
          <t>1. DID systems integrated with cloud identity platforms (Azure AD, Auth0, Okta, etc.) allow federation changes, trust-root changes, and addition of identity providers through tenant settings.
2. If an attacker adds an arbitrary federated identity provider, external users can authenticate through the attacker's domain and masquerade as legitimate users.
3. Because the authentication flow branches according to policy in the off-chain environment, tenant policy changes can distort the entire authentication flow.</t>
        </is>
      </c>
      <c r="I418" s="16" t="inlineStr">
        <is>
          <t>Architecture combining a decentralized authentication platform with a centralized IdP.</t>
        </is>
      </c>
      <c r="J418" s="16" t="inlineStr">
        <is>
          <t>1. Fix the list of Federation IdPs used in the authentication flow with an allowlist.
2. Apply dual administrator approval (MFA + approval log recording) when Federation or tenant settings are changed.
3. Internalize policies for periodic verification and trust assessment of external IdPs and VC issuers.
4. Retain and monitor long-term the logs of IdP registration/change API calls by the DID Agent or verifier.
5. Establish an event log structure that allows tracing back VC authentication performed through a forged Federation path.</t>
        </is>
      </c>
      <c r="K418" s="16" t="n"/>
      <c r="L418" s="16" t="inlineStr">
        <is>
          <t>https://attack.mitre.org/techniques/T1484</t>
        </is>
      </c>
    </row>
    <row r="419" ht="191.75" customHeight="1" s="7">
      <c r="A419" s="16" t="inlineStr">
        <is>
          <t>Defense Evasion</t>
        </is>
      </c>
      <c r="B419" s="16" t="inlineStr">
        <is>
          <t>T1672</t>
        </is>
      </c>
      <c r="C419" s="16" t="inlineStr">
        <is>
          <t>Email Spoofing</t>
        </is>
      </c>
      <c r="D419" s="16" t="n"/>
      <c r="E419" s="16" t="n"/>
      <c r="F419" s="16" t="inlineStr">
        <is>
          <t>Partial</t>
        </is>
      </c>
      <c r="G419" s="16" t="inlineStr">
        <is>
          <t>- DID authentication systems do not rely on email-based authentication as a core mechanism, but administrative email communication channels may exist for VC issuance approval, trust-score checks, authentication-completion notifications, etc., and an attacker may abuse them as spoofing channels.
- In particular, email spoofing against organizations operating DID-based authentication (e.g., VC issuers, verifiers) enables insider impersonation, forged VC requests, and inducement of system-integration approvals.
- Considered a partial match only where operator email-based approvals or notifications directly affect the authentication flow.
Structural relevance:
- DID Wallet (Client): Low (mainly app-based notifications rather than direct email reception).
- DID Agent Server: Medium (may have email-sending functions for notifications, approval requests, etc.).
- VC issuer / CredentialStatus API: Medium (may be exposed through email-based operator approval, notifications, and audit integration).</t>
        </is>
      </c>
      <c r="H419" s="16" t="inlineStr">
        <is>
          <t>1. If authentication system operators or VC issuing organizations rely on email for internal approvals and operator communication, malicious requests can be disguised through email spoofing.
2. If an SMTP relay or administrative email system exists, forged mail sent through it can enter the DID system as if it were legitimate mail.</t>
        </is>
      </c>
      <c r="I419" s="16" t="inlineStr">
        <is>
          <t>DID system</t>
        </is>
      </c>
      <c r="J419" s="16" t="inlineStr">
        <is>
          <t>1. In VC issuance and verification request approval, use DID message-based interactions or encrypted channels instead of email-based approval.
2. Allow only domains with enforced SPF/DKIM/DMARC settings for communication channels between operators and verifiers.
3. When receiving email-based requests, check for mismatches between the sender address and the actual return-path.
4. Introduce API-level referential integrity checks so that VC issuance logic cannot be invoked by links or commands delivered by email.
5. Build audit logic that cross-checks authentication logs for email requests against DID integration logs.</t>
        </is>
      </c>
      <c r="K419" s="16" t="n"/>
      <c r="L419" s="16" t="inlineStr">
        <is>
          <t>https://attack.mitre.org/techniques/T1672</t>
        </is>
      </c>
    </row>
    <row r="420" ht="169.4" customHeight="1" s="7">
      <c r="A420" s="16" t="inlineStr">
        <is>
          <t>Defense Evasion</t>
        </is>
      </c>
      <c r="B420" s="16" t="inlineStr">
        <is>
          <t>T1480</t>
        </is>
      </c>
      <c r="C420" s="16" t="inlineStr">
        <is>
          <t>Execution Guardrails</t>
        </is>
      </c>
      <c r="D420" s="16" t="inlineStr">
        <is>
          <t>T1480.001</t>
        </is>
      </c>
      <c r="E420" s="16" t="inlineStr">
        <is>
          <t>Environmental Keying</t>
        </is>
      </c>
      <c r="F420" s="16" t="inlineStr">
        <is>
          <t>Partial</t>
        </is>
      </c>
      <c r="G420" s="16" t="inlineStr">
        <is>
          <t>The configuration of DID authentication systems (e.g., VC issuer, CredentialStatus API, verifier) differs by operating environment, so the Guardrails technique is applicable to a limited extent. In particular, malicious execution can be restricted on conditions such as operator keys, network identifiers, or policy files at specific paths, so it can be used in some precisely targeted attacks.
Structural relevance:
- DID Wallet (Client): Low (local-device-based, no execution-environment constraint checks).
- DID Agent Server: Medium (specific domain conditions or file-path checks can be inserted into Python/Node.js server code).
- VC issuer / CredentialStatus API: Medium (an attacker can control payload execution based on the presence of specific verification files or DID domains).</t>
        </is>
      </c>
      <c r="H420" s="16" t="inlineStr">
        <is>
          <t>1. VC file locations, specific DID domains, and server environment variables can be used as guardrail conditions, and these also exist in DID systems.
2. Malware execution can be restricted on conditions such as a specific Federation configuration, the presence of issuance policy files, or whether a domain is for testing.
3. Detection can be evaded by recognizing analysis environments (e.g., during debugging, when test VCs are used) and blocking execution.</t>
        </is>
      </c>
      <c r="I420" s="16" t="inlineStr">
        <is>
          <t>DID system</t>
        </is>
      </c>
      <c r="J420" s="16" t="inlineStr">
        <is>
          <t>1. Minimize the insertion of condition-based branching logic when processing VC issuance and verification requests, or perform prior integrity verification.
2. Prohibit execution-path branching based on detecting debugging, test domains, etc. in the authentication environment.
3. Enforce a fixed execution flow so that execution conditions do not branch on the presence of sensitive information such as Federation domains or policy configuration files.
4. Build static analysis and detection rules for condition-checking code suspected to be guardrails (e.g., environment variables, path checks, system language detection).</t>
        </is>
      </c>
      <c r="K420" s="16" t="n"/>
      <c r="L420" s="16" t="inlineStr">
        <is>
          <t>https://attack.mitre.org/techniques/T1480</t>
        </is>
      </c>
    </row>
    <row r="421" ht="169.4" customHeight="1" s="7">
      <c r="A421" s="16" t="inlineStr">
        <is>
          <t>Defense Evasion</t>
        </is>
      </c>
      <c r="B421" s="16" t="inlineStr">
        <is>
          <t>T1480</t>
        </is>
      </c>
      <c r="C421" s="16" t="inlineStr">
        <is>
          <t>Execution Guardrails</t>
        </is>
      </c>
      <c r="D421" s="16" t="n"/>
      <c r="E421" s="16" t="inlineStr">
        <is>
          <t>User Execution Guardrails</t>
        </is>
      </c>
      <c r="F421" s="16" t="inlineStr">
        <is>
          <t>Partial</t>
        </is>
      </c>
      <c r="G421" s="16" t="inlineStr">
        <is>
          <t>The configuration of DID authentication systems (e.g., VC issuer, CredentialStatus API, verifier) differs by operating environment, so the Guardrails technique is applicable to a limited extent. In particular, malicious execution can be restricted on conditions such as operator keys, network identifiers, or policy files at specific paths, so it can be used in some precisely targeted attacks.
Structural relevance:
- DID Wallet (Client): Low (local-device-based, no execution-environment constraint checks).
- DID Agent Server: Medium (specific domain conditions or file-path checks can be inserted into Python/Node.js server code).
- VC issuer / CredentialStatus API: Medium (an attacker can control payload execution based on the presence of specific verification files or DID domains).</t>
        </is>
      </c>
      <c r="H421" s="16" t="inlineStr">
        <is>
          <t>1. VC file locations, specific DID domains, and server environment variables can be used as guardrail conditions, and these also exist in DID systems.
2. Malware execution can be restricted on conditions such as a specific Federation configuration, the presence of issuance policy files, or whether a domain is for testing.
3. Detection can be evaded by recognizing analysis environments (e.g., during debugging, when test VCs are used) and blocking execution.</t>
        </is>
      </c>
      <c r="I421" s="16" t="inlineStr">
        <is>
          <t>Condition checks can be inserted inside the VC issuer or verifier through scripts or hooking.</t>
        </is>
      </c>
      <c r="J421" s="16" t="inlineStr">
        <is>
          <t>1. Minimize the insertion of condition-based branching logic when processing VC issuance and verification requests, or perform prior integrity verification.
2. Prohibit execution-path branching based on detecting debugging, test domains, etc. in the authentication environment.
3. Enforce a fixed execution flow so that execution conditions do not branch on the presence of sensitive information such as Federation domains or policy configuration files.
4. Build static analysis and detection rules for condition-checking code suspected to be guardrails (e.g., environment variables, path checks, system language detection).</t>
        </is>
      </c>
      <c r="K421" s="16" t="inlineStr">
        <is>
          <t>"User Execution Guardrails" is not a v17 sub-technique of T1480; kept as analyzed</t>
        </is>
      </c>
      <c r="L421" s="16" t="inlineStr">
        <is>
          <t>https://attack.mitre.org/techniques/T1480</t>
        </is>
      </c>
    </row>
    <row r="422" ht="191.75" customHeight="1" s="7">
      <c r="A422" s="16" t="inlineStr">
        <is>
          <t>Defense Evasion</t>
        </is>
      </c>
      <c r="B422" s="16" t="inlineStr">
        <is>
          <t>T1211</t>
        </is>
      </c>
      <c r="C422" s="16" t="inlineStr">
        <is>
          <t>Exploitation for Defense Evasion</t>
        </is>
      </c>
      <c r="D422" s="16" t="n"/>
      <c r="E422" s="16" t="n"/>
      <c r="F422" s="16" t="inlineStr">
        <is>
          <t>Partial</t>
        </is>
      </c>
      <c r="G422" s="16" t="inlineStr">
        <is>
          <t>- DID authentication systems are not structured to be directly monitored by traditional security software (antivirus, EDR, etc.), but vulnerabilities may be exploited for Defense Evasion through indirect paths.
- VC issuers and verifiers use open-source components and libraries written in Node.js, Python, Go, etc., and if these are vulnerable, bypass paths arise.
- An attacker can attack backend services such as the CredentialStatus API and Event Logger through known vulnerabilities (CVEs, etc.) in WAS or container-based platforms, bypassing detection logic or stopping log recording.
Structural relevance:
- DID Wallet (Client): Low (locally executed, not a target for attacks aimed at evading server-side detection).
- DID Agent Server: Medium (vulnerabilities can be exploited in administrative APIs, verifiers, and integrated SaaS services).
- VC issuer / CredentialStatus API: Medium (when operated as public APIs and microservices, WAS/library vulnerabilities can be exploited).</t>
        </is>
      </c>
      <c r="H422" s="16" t="inlineStr">
        <is>
          <t>1. In architectures where DID systems also use API-based backends and cloud infrastructure (e.g., SaaS VC issuers), attacks such as bypassing security logs, bypassing authentication, and tampering with logs through known vulnerabilities can occur.
2. If security monitoring tools are inadequate, logging can be stopped or detection disabled through vulnerability exploits.</t>
        </is>
      </c>
      <c r="I422" s="16" t="inlineStr">
        <is>
          <t>DID system</t>
        </is>
      </c>
      <c r="J422" s="16" t="inlineStr">
        <is>
          <t>1. Server components such as VC issuers and verifiers require periodic patch management and CVE-based scanning.
2. Apply behavior-based security tools before execution to the WAS and framework layers (Spring Boot, Express, etc.).
3. For container-based systems, perform periodic assessments with image security scanners such as Snyk and Trivy.
4. When using an API Gateway or Reverse Proxy, introduce detection logic for attack signatures and abnormal response patterns.
5. Configure a dual log backup system in preparation for exploit attempts targeting log collectors.</t>
        </is>
      </c>
      <c r="K422" s="16" t="n"/>
      <c r="L422" s="16" t="inlineStr">
        <is>
          <t>https://attack.mitre.org/techniques/T1211</t>
        </is>
      </c>
    </row>
    <row r="423" ht="180.55" customHeight="1" s="7">
      <c r="A423" s="16" t="inlineStr">
        <is>
          <t>Defense Evasion</t>
        </is>
      </c>
      <c r="B423" s="16" t="inlineStr">
        <is>
          <t>T1222</t>
        </is>
      </c>
      <c r="C423" s="16" t="inlineStr">
        <is>
          <t>File and Directory Permissions Modification</t>
        </is>
      </c>
      <c r="D423" s="16" t="inlineStr">
        <is>
          <t>T1222.001</t>
        </is>
      </c>
      <c r="E423" s="16" t="inlineStr">
        <is>
          <t>Windows File and Directory Permissions Modification</t>
        </is>
      </c>
      <c r="F423" s="16" t="inlineStr">
        <is>
          <t>Partial</t>
        </is>
      </c>
      <c r="G423" s="16" t="inlineStr">
        <is>
          <t>VC issuers, the CredentialStatus API, DID Agents, etc. in DID authentication systems store configuration information in container-based filesystems, and if the permissions of these directories are tampered with, threats such as VC forgery, private-key theft, and status manipulation can arise directly. In particular, attack scenarios in which backdoor files are inserted or existing execution scripts are replaced through permission changes are fully applicable.
Structural relevance:
- DID Wallet (Client): Low (generally runs in a mobile OS or app sandbox environment, making system file permission changes difficult).
- DID Agent Server: High (changing permissions on configuration files, key stores, or Federation configuration directories can tamper with the VC flow).
- VC issuer / CredentialStatus API: High (permissions on local volumes or mounted directories in running microservices can be changed, so the likelihood of the threat is high).</t>
        </is>
      </c>
      <c r="H423" s="16" t="inlineStr">
        <is>
          <t>1. VC signing key files, Federation policies, issuance history, etc. are generally stored in specific directories inside containers.
2. After obtaining write permission to these files through permission changes, an attacker can inject forged keys or issuance logic.
3. Persistent command execution can be secured by inserting backdoor scripts or replacing existing executables.</t>
        </is>
      </c>
      <c r="I423" s="16" t="inlineStr">
        <is>
          <t>DID system</t>
        </is>
      </c>
      <c r="J423" s="16" t="inlineStr">
        <is>
          <t>1. VC-related directories must be mounted read-only or root-only.
2. Fix ownership of execution scripts and configuration files inside containers at image build time and set them to root-only.
3. Introduce change-history monitoring and integrity hash management for Federation and VC policy files.
4. Operate a file-permission change monitoring agent (e.g., Falco) with automatic blocking and alerting when permission changes are detected.
5. Control operational processes so that file permission changes are impossible outside approved pipelines such as CI/CD.</t>
        </is>
      </c>
      <c r="K423" s="16" t="n"/>
      <c r="L423" s="16" t="inlineStr">
        <is>
          <t>https://attack.mitre.org/techniques/T1222</t>
        </is>
      </c>
    </row>
    <row r="424" ht="180.55" customHeight="1" s="7">
      <c r="A424" s="16" t="inlineStr">
        <is>
          <t>Defense Evasion</t>
        </is>
      </c>
      <c r="B424" s="16" t="inlineStr">
        <is>
          <t>T1222</t>
        </is>
      </c>
      <c r="C424" s="16" t="inlineStr">
        <is>
          <t>File and Directory Permissions Modification</t>
        </is>
      </c>
      <c r="D424" s="16" t="inlineStr">
        <is>
          <t>T1222.002</t>
        </is>
      </c>
      <c r="E424" s="16" t="inlineStr">
        <is>
          <t>Linux and Mac File and Directory Permissions Modification</t>
        </is>
      </c>
      <c r="F424" s="16" t="inlineStr">
        <is>
          <t>Partial</t>
        </is>
      </c>
      <c r="G424" s="16" t="inlineStr">
        <is>
          <t>VC issuers, the CredentialStatus API, DID Agents, etc. in DID authentication systems store configuration information in container-based filesystems, and if the permissions of these directories are tampered with, threats such as VC forgery, private-key theft, and status manipulation can arise directly. In particular, attack scenarios in which backdoor files are inserted or existing execution scripts are replaced through permission changes are fully applicable.
Structural relevance:
- DID Wallet (Client): Low (generally runs in a mobile OS or app sandbox environment, making system file permission changes difficult).
- DID Agent Server: High (changing permissions on configuration files, key stores, or Federation configuration directories can tamper with the VC flow).
- VC issuer / CredentialStatus API: High (permissions on local volumes or mounted directories in running microservices can be changed, so the likelihood of the threat is high).</t>
        </is>
      </c>
      <c r="H424" s="16" t="inlineStr">
        <is>
          <t>1. VC signing key files, Federation policies, issuance history, etc. are generally stored in specific directories inside containers.
2. After obtaining write permission to these files through permission changes, an attacker can inject forged keys or issuance logic.
3. Persistent command execution can be secured by inserting backdoor scripts or replacing existing executables.</t>
        </is>
      </c>
      <c r="I424" s="16" t="inlineStr">
        <is>
          <t>Tampering with the VC issuance/verification flow and insertion of backdoors.</t>
        </is>
      </c>
      <c r="J424" s="16" t="inlineStr">
        <is>
          <t>1. VC-related directories must be mounted read-only or root-only.
2. Fix ownership of execution scripts and configuration files inside containers at image build time and set them to root-only.
3. Introduce change-history monitoring and integrity hash management for Federation and VC policy files.
4. Operate a file-permission change monitoring agent (e.g., Falco) with automatic blocking and alerting when permission changes are detected.
5. Control operational processes so that file permission changes are impossible outside approved pipelines such as CI/CD.</t>
        </is>
      </c>
      <c r="K424" s="16" t="n"/>
      <c r="L424" s="16" t="inlineStr">
        <is>
          <t>https://attack.mitre.org/techniques/T1222</t>
        </is>
      </c>
    </row>
    <row r="425" ht="169.4" customHeight="1" s="7">
      <c r="A425" s="16" t="inlineStr">
        <is>
          <t>Defense Evasion</t>
        </is>
      </c>
      <c r="B425" s="16" t="inlineStr">
        <is>
          <t>T1564</t>
        </is>
      </c>
      <c r="C425" s="16" t="inlineStr">
        <is>
          <t>Hide Artifacts</t>
        </is>
      </c>
      <c r="D425" s="16" t="inlineStr">
        <is>
          <t>T1564.001</t>
        </is>
      </c>
      <c r="E425" s="16" t="inlineStr">
        <is>
          <t>Hidden Files and Directories</t>
        </is>
      </c>
      <c r="F425" s="16" t="inlineStr">
        <is>
          <t>Partial</t>
        </is>
      </c>
      <c r="G425"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25"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25" s="16" t="inlineStr">
        <is>
          <t>DID system</t>
        </is>
      </c>
      <c r="J425"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25" s="16" t="n"/>
      <c r="L425" s="16" t="inlineStr">
        <is>
          <t>https://attack.mitre.org/techniques/T1564</t>
        </is>
      </c>
    </row>
    <row r="426" ht="169.4" customHeight="1" s="7">
      <c r="A426" s="16" t="inlineStr">
        <is>
          <t>Defense Evasion</t>
        </is>
      </c>
      <c r="B426" s="16" t="inlineStr">
        <is>
          <t>T1564</t>
        </is>
      </c>
      <c r="C426" s="16" t="inlineStr">
        <is>
          <t>Hide Artifacts</t>
        </is>
      </c>
      <c r="D426" s="16" t="inlineStr">
        <is>
          <t>T1564.002</t>
        </is>
      </c>
      <c r="E426" s="16" t="inlineStr">
        <is>
          <t>Hidden Users</t>
        </is>
      </c>
      <c r="F426" s="16" t="inlineStr">
        <is>
          <t>Partial</t>
        </is>
      </c>
      <c r="G426"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26"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26" s="16" t="inlineStr">
        <is>
          <t>DID system</t>
        </is>
      </c>
      <c r="J426"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26" s="16" t="n"/>
      <c r="L426" s="16" t="inlineStr">
        <is>
          <t>https://attack.mitre.org/techniques/T1564</t>
        </is>
      </c>
    </row>
    <row r="427" ht="169.4" customHeight="1" s="7">
      <c r="A427" s="16" t="inlineStr">
        <is>
          <t>Defense Evasion</t>
        </is>
      </c>
      <c r="B427" s="16" t="inlineStr">
        <is>
          <t>T1564</t>
        </is>
      </c>
      <c r="C427" s="16" t="inlineStr">
        <is>
          <t>Hide Artifacts</t>
        </is>
      </c>
      <c r="D427" s="16" t="inlineStr">
        <is>
          <t>T1564.003</t>
        </is>
      </c>
      <c r="E427" s="16" t="inlineStr">
        <is>
          <t>Hidden Window</t>
        </is>
      </c>
      <c r="F427" s="16" t="inlineStr">
        <is>
          <t>Partial</t>
        </is>
      </c>
      <c r="G427"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27"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27" s="16" t="inlineStr">
        <is>
          <t>DID system</t>
        </is>
      </c>
      <c r="J427"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27" s="16" t="n"/>
      <c r="L427" s="16" t="inlineStr">
        <is>
          <t>https://attack.mitre.org/techniques/T1564</t>
        </is>
      </c>
    </row>
    <row r="428" ht="169.4" customHeight="1" s="7">
      <c r="A428" s="16" t="inlineStr">
        <is>
          <t>Defense Evasion</t>
        </is>
      </c>
      <c r="B428" s="16" t="inlineStr">
        <is>
          <t>T1564</t>
        </is>
      </c>
      <c r="C428" s="16" t="inlineStr">
        <is>
          <t>Hide Artifacts</t>
        </is>
      </c>
      <c r="D428" s="16" t="n"/>
      <c r="E428" s="16" t="inlineStr">
        <is>
          <t>Hidden Services</t>
        </is>
      </c>
      <c r="F428" s="16" t="inlineStr">
        <is>
          <t>Partial</t>
        </is>
      </c>
      <c r="G428"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28"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28" s="16" t="inlineStr">
        <is>
          <t>VCs, status-change records, backdoor shells, configuration files, etc.</t>
        </is>
      </c>
      <c r="J428"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28" s="16" t="inlineStr">
        <is>
          <t>"Hidden Services" is not a v17 sub-technique of T1564; kept as analyzed</t>
        </is>
      </c>
      <c r="L428" s="16" t="inlineStr">
        <is>
          <t>https://attack.mitre.org/techniques/T1564</t>
        </is>
      </c>
    </row>
    <row r="429" ht="169.4" customHeight="1" s="7">
      <c r="A429" s="16" t="inlineStr">
        <is>
          <t>Defense Evasion</t>
        </is>
      </c>
      <c r="B429" s="16" t="inlineStr">
        <is>
          <t>T1564</t>
        </is>
      </c>
      <c r="C429" s="16" t="inlineStr">
        <is>
          <t>Hide Artifacts</t>
        </is>
      </c>
      <c r="D429" s="16" t="inlineStr">
        <is>
          <t>T1564.005</t>
        </is>
      </c>
      <c r="E429" s="16" t="inlineStr">
        <is>
          <t>Hidden File System</t>
        </is>
      </c>
      <c r="F429" s="16" t="inlineStr">
        <is>
          <t>Partial</t>
        </is>
      </c>
      <c r="G429"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29"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29" s="16" t="inlineStr">
        <is>
          <t>VCs, status-change records, backdoor shells, configuration files, etc.</t>
        </is>
      </c>
      <c r="J429"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29" s="16" t="n"/>
      <c r="L429" s="16" t="inlineStr">
        <is>
          <t>https://attack.mitre.org/techniques/T1564</t>
        </is>
      </c>
    </row>
    <row r="430" ht="169.4" customHeight="1" s="7">
      <c r="A430" s="16" t="inlineStr">
        <is>
          <t>Defense Evasion</t>
        </is>
      </c>
      <c r="B430" s="16" t="inlineStr">
        <is>
          <t>T1564</t>
        </is>
      </c>
      <c r="C430" s="16" t="inlineStr">
        <is>
          <t>Hide Artifacts</t>
        </is>
      </c>
      <c r="D430" s="16" t="inlineStr">
        <is>
          <t>T1564.006</t>
        </is>
      </c>
      <c r="E430" s="16" t="inlineStr">
        <is>
          <t>Run Virtual Instance</t>
        </is>
      </c>
      <c r="F430" s="16" t="inlineStr">
        <is>
          <t>Partial</t>
        </is>
      </c>
      <c r="G430"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0"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0" s="16" t="inlineStr">
        <is>
          <t>VCs, status-change records, backdoor shells, configuration files, etc.</t>
        </is>
      </c>
      <c r="J430"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0" s="16" t="n"/>
      <c r="L430" s="16" t="inlineStr">
        <is>
          <t>https://attack.mitre.org/techniques/T1564</t>
        </is>
      </c>
    </row>
    <row r="431" ht="169.4" customHeight="1" s="7">
      <c r="A431" s="16" t="inlineStr">
        <is>
          <t>Defense Evasion</t>
        </is>
      </c>
      <c r="B431" s="16" t="inlineStr">
        <is>
          <t>T1564</t>
        </is>
      </c>
      <c r="C431" s="16" t="inlineStr">
        <is>
          <t>Hide Artifacts</t>
        </is>
      </c>
      <c r="D431" s="16" t="inlineStr">
        <is>
          <t>T1564.007</t>
        </is>
      </c>
      <c r="E431" s="16" t="inlineStr">
        <is>
          <t>VBA Stomping</t>
        </is>
      </c>
      <c r="F431" s="16" t="inlineStr">
        <is>
          <t>Partial</t>
        </is>
      </c>
      <c r="G431"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1"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1" s="16" t="inlineStr">
        <is>
          <t>Container filesystems, API call logs, and authentication records.</t>
        </is>
      </c>
      <c r="J431"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1" s="16" t="n"/>
      <c r="L431" s="16" t="inlineStr">
        <is>
          <t>https://attack.mitre.org/techniques/T1564</t>
        </is>
      </c>
    </row>
    <row r="432" ht="169.4" customHeight="1" s="7">
      <c r="A432" s="16" t="inlineStr">
        <is>
          <t>Defense Evasion</t>
        </is>
      </c>
      <c r="B432" s="16" t="inlineStr">
        <is>
          <t>T1564</t>
        </is>
      </c>
      <c r="C432" s="16" t="inlineStr">
        <is>
          <t>Hide Artifacts</t>
        </is>
      </c>
      <c r="D432" s="16" t="inlineStr">
        <is>
          <t>T1564.008</t>
        </is>
      </c>
      <c r="E432" s="16" t="inlineStr">
        <is>
          <t>Email Hiding Rules</t>
        </is>
      </c>
      <c r="F432" s="16" t="inlineStr">
        <is>
          <t>Partial</t>
        </is>
      </c>
      <c r="G432"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2"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2" s="16" t="inlineStr">
        <is>
          <t>Container filesystems, API call logs, and authentication records.</t>
        </is>
      </c>
      <c r="J432"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2" s="16" t="n"/>
      <c r="L432" s="16" t="inlineStr">
        <is>
          <t>https://attack.mitre.org/techniques/T1564</t>
        </is>
      </c>
    </row>
    <row r="433" ht="169.4" customHeight="1" s="7">
      <c r="A433" s="16" t="inlineStr">
        <is>
          <t>Defense Evasion</t>
        </is>
      </c>
      <c r="B433" s="16" t="inlineStr">
        <is>
          <t>T1564</t>
        </is>
      </c>
      <c r="C433" s="16" t="inlineStr">
        <is>
          <t>Hide Artifacts</t>
        </is>
      </c>
      <c r="D433" s="16" t="inlineStr">
        <is>
          <t>T1027.009</t>
        </is>
      </c>
      <c r="E433" s="16" t="inlineStr">
        <is>
          <t>Embedded Payloads</t>
        </is>
      </c>
      <c r="F433" s="16" t="inlineStr">
        <is>
          <t>Partial</t>
        </is>
      </c>
      <c r="G433"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3"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3" s="16" t="inlineStr">
        <is>
          <t>Container filesystems, API call logs, and authentication records.</t>
        </is>
      </c>
      <c r="J433"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3" s="16" t="inlineStr">
        <is>
          <t>v17 sub-technique of T1027</t>
        </is>
      </c>
      <c r="L433" s="16" t="inlineStr">
        <is>
          <t>https://attack.mitre.org/techniques/T1564</t>
        </is>
      </c>
    </row>
    <row r="434" ht="169.4" customHeight="1" s="7">
      <c r="A434" s="16" t="inlineStr">
        <is>
          <t>Defense Evasion</t>
        </is>
      </c>
      <c r="B434" s="16" t="inlineStr">
        <is>
          <t>T1564</t>
        </is>
      </c>
      <c r="C434" s="16" t="inlineStr">
        <is>
          <t>Hide Artifacts</t>
        </is>
      </c>
      <c r="D434" s="16" t="inlineStr">
        <is>
          <t>T1564.010</t>
        </is>
      </c>
      <c r="E434" s="16" t="inlineStr">
        <is>
          <t>Process Argument Spoofing</t>
        </is>
      </c>
      <c r="F434" s="16" t="inlineStr">
        <is>
          <t>Partial</t>
        </is>
      </c>
      <c r="G434"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4"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4" s="16" t="inlineStr">
        <is>
          <t>Container filesystems, API call logs, and authentication records.</t>
        </is>
      </c>
      <c r="J434"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4" s="16" t="n"/>
      <c r="L434" s="16" t="inlineStr">
        <is>
          <t>https://attack.mitre.org/techniques/T1564</t>
        </is>
      </c>
    </row>
    <row r="435" ht="169.4" customHeight="1" s="7">
      <c r="A435" s="16" t="inlineStr">
        <is>
          <t>Defense Evasion</t>
        </is>
      </c>
      <c r="B435" s="16" t="inlineStr">
        <is>
          <t>T1564</t>
        </is>
      </c>
      <c r="C435" s="16" t="inlineStr">
        <is>
          <t>Hide Artifacts</t>
        </is>
      </c>
      <c r="D435" s="16" t="inlineStr">
        <is>
          <t>T1036.004</t>
        </is>
      </c>
      <c r="E435" s="16" t="inlineStr">
        <is>
          <t>Masquerade Task or Service</t>
        </is>
      </c>
      <c r="F435" s="16" t="inlineStr">
        <is>
          <t>Partial</t>
        </is>
      </c>
      <c r="G435"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5"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5" s="16" t="inlineStr">
        <is>
          <t>tmp/, .cache/, hidden Federation policy files, etc.</t>
        </is>
      </c>
      <c r="J435"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5" s="16" t="inlineStr">
        <is>
          <t>v17 sub-technique of T1036</t>
        </is>
      </c>
      <c r="L435" s="16" t="inlineStr">
        <is>
          <t>https://attack.mitre.org/techniques/T1564</t>
        </is>
      </c>
    </row>
    <row r="436" ht="169.4" customHeight="1" s="7">
      <c r="A436" s="16" t="inlineStr">
        <is>
          <t>Defense Evasion</t>
        </is>
      </c>
      <c r="B436" s="16" t="inlineStr">
        <is>
          <t>T1564</t>
        </is>
      </c>
      <c r="C436" s="16" t="inlineStr">
        <is>
          <t>Hide Artifacts</t>
        </is>
      </c>
      <c r="D436" s="16" t="inlineStr">
        <is>
          <t>T1564.009</t>
        </is>
      </c>
      <c r="E436" s="16" t="inlineStr">
        <is>
          <t>Resource Forking</t>
        </is>
      </c>
      <c r="F436" s="16" t="inlineStr">
        <is>
          <t>Partial</t>
        </is>
      </c>
      <c r="G436"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6"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6" s="16" t="inlineStr">
        <is>
          <t>tmp/, .cache/, hidden Federation policy files, etc.</t>
        </is>
      </c>
      <c r="J436"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6" s="16" t="n"/>
      <c r="L436" s="16" t="inlineStr">
        <is>
          <t>https://attack.mitre.org/techniques/T1564</t>
        </is>
      </c>
    </row>
    <row r="437" ht="169.4" customHeight="1" s="7">
      <c r="A437" s="16" t="inlineStr">
        <is>
          <t>Defense Evasion</t>
        </is>
      </c>
      <c r="B437" s="16" t="inlineStr">
        <is>
          <t>T1564</t>
        </is>
      </c>
      <c r="C437" s="16" t="inlineStr">
        <is>
          <t>Hide Artifacts</t>
        </is>
      </c>
      <c r="D437" s="16" t="inlineStr">
        <is>
          <t>T1036.008</t>
        </is>
      </c>
      <c r="E437" s="16" t="inlineStr">
        <is>
          <t>Masquerade File Type</t>
        </is>
      </c>
      <c r="F437" s="16" t="inlineStr">
        <is>
          <t>Partial</t>
        </is>
      </c>
      <c r="G437"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7"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7" s="16" t="inlineStr">
        <is>
          <t>tmp/, .cache/, hidden Federation policy files, etc.</t>
        </is>
      </c>
      <c r="J437"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7" s="16" t="inlineStr">
        <is>
          <t>v17 sub-technique of T1036</t>
        </is>
      </c>
      <c r="L437" s="16" t="inlineStr">
        <is>
          <t>https://attack.mitre.org/techniques/T1564</t>
        </is>
      </c>
    </row>
    <row r="438" ht="169.4" customHeight="1" s="7">
      <c r="A438" s="16" t="inlineStr">
        <is>
          <t>Defense Evasion</t>
        </is>
      </c>
      <c r="B438" s="16" t="inlineStr">
        <is>
          <t>T1564</t>
        </is>
      </c>
      <c r="C438" s="16" t="inlineStr">
        <is>
          <t>Hide Artifacts</t>
        </is>
      </c>
      <c r="D438" s="16" t="n"/>
      <c r="E438" s="16" t="inlineStr">
        <is>
          <t>I/O Firmware Modification</t>
        </is>
      </c>
      <c r="F438" s="16" t="inlineStr">
        <is>
          <t>Partial</t>
        </is>
      </c>
      <c r="G438" s="16" t="inlineStr">
        <is>
          <t>VC issuers, status verification APIs, log recorders, etc. in DID systems operate on container-internal filesystems or CI/CD, and if an attacker inserts malicious files into hidden directories, temporary folders, or under disguised filenames, detection evasion is quite possible. Activity can also be hidden by disguising authentication prompts (e.g., vc-checker --silent) or creating disguised services.
Structural relevance:
- DID Wallet (Client): Low (mobile/WebApp-centric, with restricted access to the user filesystem).
- DID Agent Server: High (hidden paths and disguised processes can be used in backend services).
- VC issuer / CredentialStatus API: High (forged VCs can be inserted as hidden files such as .tmp or .bak in directories).</t>
        </is>
      </c>
      <c r="H438" s="16" t="inlineStr">
        <is>
          <t>1. Forged VCs, backdoor scripts, malicious authentication data, etc. can be concealed through hidden files or directories.
2. Techniques such as temporary directories, .hidden, .DS_Store, mktemp, and base64 encoding can also be used in container environments within DID systems.
3. Tracing can be obstructed by hiding or overriding status-change logs or audit logs.</t>
        </is>
      </c>
      <c r="I438" s="16" t="inlineStr">
        <is>
          <t>tmp/, .cache/, hidden Federation policy files, etc.</t>
        </is>
      </c>
      <c r="J438" s="16" t="inlineStr">
        <is>
          <t>1. Apply periodic file inspection and integrity hash comparison to hidden directories inside containers such as /tmp and /app/.hidden.
2. Immediately block if Federation, policy, key files, etc. referenced during VC verification are located in hidden paths.
3. Log recorders should include detection rules for duplicate filenames or suspicious extensions (.bak, .tmp, .swp, etc.).
4. Fix naming rules and creation paths for services and entrypoint scripts to prevent unauthorized creation.
5. Record anomaly-detection logs when associated events are not generated or when execution occurs from abnormal paths.</t>
        </is>
      </c>
      <c r="K438" s="16" t="inlineStr">
        <is>
          <t>"I/O Firmware Modification" is not a v17 sub-technique of T1564; kept as analyzed</t>
        </is>
      </c>
      <c r="L438" s="16" t="inlineStr">
        <is>
          <t>https://attack.mitre.org/techniques/T1564</t>
        </is>
      </c>
    </row>
    <row r="439" ht="191.75" customHeight="1" s="7">
      <c r="A439" s="16" t="inlineStr">
        <is>
          <t>Defense Evasion</t>
        </is>
      </c>
      <c r="B439" s="16" t="inlineStr">
        <is>
          <t>T1574</t>
        </is>
      </c>
      <c r="C439" s="16" t="inlineStr">
        <is>
          <t>Hijack Execution Flow</t>
        </is>
      </c>
      <c r="D439" s="16" t="inlineStr">
        <is>
          <t>T1574.001</t>
        </is>
      </c>
      <c r="E439" s="16" t="inlineStr">
        <is>
          <t>DLL</t>
        </is>
      </c>
      <c r="F439" s="16" t="inlineStr">
        <is>
          <t>Partial</t>
        </is>
      </c>
      <c r="G439"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39"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39" s="16" t="inlineStr">
        <is>
          <t>DID system</t>
        </is>
      </c>
      <c r="J439"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39" s="16" t="n"/>
      <c r="L439" s="16" t="inlineStr">
        <is>
          <t>https://attack.mitre.org/techniques/T1574</t>
        </is>
      </c>
    </row>
    <row r="440" ht="191.75" customHeight="1" s="7">
      <c r="A440" s="16" t="inlineStr">
        <is>
          <t>Defense Evasion</t>
        </is>
      </c>
      <c r="B440" s="16" t="inlineStr">
        <is>
          <t>T1574</t>
        </is>
      </c>
      <c r="C440" s="16" t="inlineStr">
        <is>
          <t>Hijack Execution Flow</t>
        </is>
      </c>
      <c r="D440" s="16" t="inlineStr">
        <is>
          <t>T1574.004</t>
        </is>
      </c>
      <c r="E440" s="16" t="inlineStr">
        <is>
          <t>Dylib Hijacking</t>
        </is>
      </c>
      <c r="F440" s="16" t="inlineStr">
        <is>
          <t>Partial</t>
        </is>
      </c>
      <c r="G440"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0"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0" s="16" t="inlineStr">
        <is>
          <t>DID system</t>
        </is>
      </c>
      <c r="J440"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0" s="16" t="n"/>
      <c r="L440" s="16" t="inlineStr">
        <is>
          <t>https://attack.mitre.org/techniques/T1574</t>
        </is>
      </c>
    </row>
    <row r="441" ht="191.75" customHeight="1" s="7">
      <c r="A441" s="16" t="inlineStr">
        <is>
          <t>Defense Evasion</t>
        </is>
      </c>
      <c r="B441" s="16" t="inlineStr">
        <is>
          <t>T1574</t>
        </is>
      </c>
      <c r="C441" s="16" t="inlineStr">
        <is>
          <t>Hijack Execution Flow</t>
        </is>
      </c>
      <c r="D441" s="16" t="inlineStr">
        <is>
          <t>T1574.005</t>
        </is>
      </c>
      <c r="E441" s="16" t="inlineStr">
        <is>
          <t>Executable Installer File Permissions Weakness</t>
        </is>
      </c>
      <c r="F441" s="16" t="inlineStr">
        <is>
          <t>Partial</t>
        </is>
      </c>
      <c r="G441"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1"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1" s="16" t="inlineStr">
        <is>
          <t>Entry scripts, Federation config, verification API paths, etc.</t>
        </is>
      </c>
      <c r="J441"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1" s="16" t="n"/>
      <c r="L441" s="16" t="inlineStr">
        <is>
          <t>https://attack.mitre.org/techniques/T1574</t>
        </is>
      </c>
    </row>
    <row r="442" ht="191.75" customHeight="1" s="7">
      <c r="A442" s="16" t="inlineStr">
        <is>
          <t>Defense Evasion</t>
        </is>
      </c>
      <c r="B442" s="16" t="inlineStr">
        <is>
          <t>T1574</t>
        </is>
      </c>
      <c r="C442" s="16" t="inlineStr">
        <is>
          <t>Hijack Execution Flow</t>
        </is>
      </c>
      <c r="D442" s="16" t="inlineStr">
        <is>
          <t>T1574.006</t>
        </is>
      </c>
      <c r="E442" s="16" t="inlineStr">
        <is>
          <t>Dynamic Linker Hijacking</t>
        </is>
      </c>
      <c r="F442" s="16" t="inlineStr">
        <is>
          <t>Partial</t>
        </is>
      </c>
      <c r="G442"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2"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2" s="16" t="inlineStr">
        <is>
          <t>Entry scripts, Federation config, verification API paths, etc.</t>
        </is>
      </c>
      <c r="J442"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2" s="16" t="n"/>
      <c r="L442" s="16" t="inlineStr">
        <is>
          <t>https://attack.mitre.org/techniques/T1574</t>
        </is>
      </c>
    </row>
    <row r="443" ht="191.75" customHeight="1" s="7">
      <c r="A443" s="16" t="inlineStr">
        <is>
          <t>Defense Evasion</t>
        </is>
      </c>
      <c r="B443" s="16" t="inlineStr">
        <is>
          <t>T1574</t>
        </is>
      </c>
      <c r="C443" s="16" t="inlineStr">
        <is>
          <t>Hijack Execution Flow</t>
        </is>
      </c>
      <c r="D443" s="16" t="inlineStr">
        <is>
          <t>T1574.007</t>
        </is>
      </c>
      <c r="E443" s="16" t="inlineStr">
        <is>
          <t>Path Interception by PATH Environment Variable</t>
        </is>
      </c>
      <c r="F443" s="16" t="inlineStr">
        <is>
          <t>Partial</t>
        </is>
      </c>
      <c r="G443"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3"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3" s="16" t="inlineStr">
        <is>
          <t>Entry scripts, Federation config, verification API paths, etc.</t>
        </is>
      </c>
      <c r="J443"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3" s="16" t="n"/>
      <c r="L443" s="16" t="inlineStr">
        <is>
          <t>https://attack.mitre.org/techniques/T1574</t>
        </is>
      </c>
    </row>
    <row r="444" ht="191.75" customHeight="1" s="7">
      <c r="A444" s="16" t="inlineStr">
        <is>
          <t>Defense Evasion</t>
        </is>
      </c>
      <c r="B444" s="16" t="inlineStr">
        <is>
          <t>T1574</t>
        </is>
      </c>
      <c r="C444" s="16" t="inlineStr">
        <is>
          <t>Hijack Execution Flow</t>
        </is>
      </c>
      <c r="D444" s="16" t="inlineStr">
        <is>
          <t>T1574.008</t>
        </is>
      </c>
      <c r="E444" s="16" t="inlineStr">
        <is>
          <t>Path Interception by Search Order Hijacking</t>
        </is>
      </c>
      <c r="F444" s="16" t="inlineStr">
        <is>
          <t>Partial</t>
        </is>
      </c>
      <c r="G444"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4"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4" s="16" t="inlineStr">
        <is>
          <t>Containerized Linux microservices.</t>
        </is>
      </c>
      <c r="J444"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4" s="16" t="n"/>
      <c r="L444" s="16" t="inlineStr">
        <is>
          <t>https://attack.mitre.org/techniques/T1574</t>
        </is>
      </c>
    </row>
    <row r="445" ht="191.75" customHeight="1" s="7">
      <c r="A445" s="16" t="inlineStr">
        <is>
          <t>Defense Evasion</t>
        </is>
      </c>
      <c r="B445" s="16" t="inlineStr">
        <is>
          <t>T1574</t>
        </is>
      </c>
      <c r="C445" s="16" t="inlineStr">
        <is>
          <t>Hijack Execution Flow</t>
        </is>
      </c>
      <c r="D445" s="16" t="inlineStr">
        <is>
          <t>T1574.009</t>
        </is>
      </c>
      <c r="E445" s="16" t="inlineStr">
        <is>
          <t>Path Interception by Unquoted Path</t>
        </is>
      </c>
      <c r="F445" s="16" t="inlineStr">
        <is>
          <t>Partial</t>
        </is>
      </c>
      <c r="G445"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5"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5" s="16" t="inlineStr">
        <is>
          <t>Containerized Linux microservices.</t>
        </is>
      </c>
      <c r="J445"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5" s="16" t="n"/>
      <c r="L445" s="16" t="inlineStr">
        <is>
          <t>https://attack.mitre.org/techniques/T1574</t>
        </is>
      </c>
    </row>
    <row r="446" ht="191.75" customHeight="1" s="7">
      <c r="A446" s="16" t="inlineStr">
        <is>
          <t>Defense Evasion</t>
        </is>
      </c>
      <c r="B446" s="16" t="inlineStr">
        <is>
          <t>T1574</t>
        </is>
      </c>
      <c r="C446" s="16" t="inlineStr">
        <is>
          <t>Hijack Execution Flow</t>
        </is>
      </c>
      <c r="D446" s="16" t="inlineStr">
        <is>
          <t>T1574.010</t>
        </is>
      </c>
      <c r="E446" s="16" t="inlineStr">
        <is>
          <t>Services File Permissions Weakness</t>
        </is>
      </c>
      <c r="F446" s="16" t="inlineStr">
        <is>
          <t>Partial</t>
        </is>
      </c>
      <c r="G446"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6"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6" s="16" t="inlineStr">
        <is>
          <t>Containerized Linux microservices.</t>
        </is>
      </c>
      <c r="J446"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6" s="16" t="n"/>
      <c r="L446" s="16" t="inlineStr">
        <is>
          <t>https://attack.mitre.org/techniques/T1574</t>
        </is>
      </c>
    </row>
    <row r="447" ht="191.75" customHeight="1" s="7">
      <c r="A447" s="16" t="inlineStr">
        <is>
          <t>Defense Evasion</t>
        </is>
      </c>
      <c r="B447" s="16" t="inlineStr">
        <is>
          <t>T1574</t>
        </is>
      </c>
      <c r="C447" s="16" t="inlineStr">
        <is>
          <t>Hijack Execution Flow</t>
        </is>
      </c>
      <c r="D447" s="16" t="inlineStr">
        <is>
          <t>T1574.011</t>
        </is>
      </c>
      <c r="E447" s="16" t="inlineStr">
        <is>
          <t>Services Registry Permissions Weakness</t>
        </is>
      </c>
      <c r="F447" s="16" t="inlineStr">
        <is>
          <t>Partial</t>
        </is>
      </c>
      <c r="G447"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7"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7" s="16" t="inlineStr">
        <is>
          <t>VC forgery, policy changes, trusted-domain masquerading, etc.</t>
        </is>
      </c>
      <c r="J447"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7" s="16" t="n"/>
      <c r="L447" s="16" t="inlineStr">
        <is>
          <t>https://attack.mitre.org/techniques/T1574</t>
        </is>
      </c>
    </row>
    <row r="448" ht="191.75" customHeight="1" s="7">
      <c r="A448" s="16" t="inlineStr">
        <is>
          <t>Defense Evasion</t>
        </is>
      </c>
      <c r="B448" s="16" t="inlineStr">
        <is>
          <t>T1574</t>
        </is>
      </c>
      <c r="C448" s="16" t="inlineStr">
        <is>
          <t>Hijack Execution Flow</t>
        </is>
      </c>
      <c r="D448" s="16" t="inlineStr">
        <is>
          <t>T1574.012</t>
        </is>
      </c>
      <c r="E448" s="16" t="inlineStr">
        <is>
          <t>COR_PROFILER</t>
        </is>
      </c>
      <c r="F448" s="16" t="inlineStr">
        <is>
          <t>Partial</t>
        </is>
      </c>
      <c r="G448"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8"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8" s="16" t="inlineStr">
        <is>
          <t>VC forgery, policy changes, trusted-domain masquerading, etc.</t>
        </is>
      </c>
      <c r="J448"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8" s="16" t="n"/>
      <c r="L448" s="16" t="inlineStr">
        <is>
          <t>https://attack.mitre.org/techniques/T1574</t>
        </is>
      </c>
    </row>
    <row r="449" ht="191.75" customHeight="1" s="7">
      <c r="A449" s="16" t="inlineStr">
        <is>
          <t>Defense Evasion</t>
        </is>
      </c>
      <c r="B449" s="16" t="inlineStr">
        <is>
          <t>T1574</t>
        </is>
      </c>
      <c r="C449" s="16" t="inlineStr">
        <is>
          <t>Hijack Execution Flow</t>
        </is>
      </c>
      <c r="D449" s="16" t="inlineStr">
        <is>
          <t>T1574.013</t>
        </is>
      </c>
      <c r="E449" s="16" t="inlineStr">
        <is>
          <t>KernelCallbackTable</t>
        </is>
      </c>
      <c r="F449" s="16" t="inlineStr">
        <is>
          <t>Partial</t>
        </is>
      </c>
      <c r="G449"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49"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49" s="16" t="inlineStr">
        <is>
          <t>VC forgery, policy changes, trusted-domain masquerading, etc.</t>
        </is>
      </c>
      <c r="J449"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49" s="16" t="n"/>
      <c r="L449" s="16" t="inlineStr">
        <is>
          <t>https://attack.mitre.org/techniques/T1574</t>
        </is>
      </c>
    </row>
    <row r="450" ht="191.75" customHeight="1" s="7">
      <c r="A450" s="16" t="inlineStr">
        <is>
          <t>Defense Evasion</t>
        </is>
      </c>
      <c r="B450" s="16" t="inlineStr">
        <is>
          <t>T1574</t>
        </is>
      </c>
      <c r="C450" s="16" t="inlineStr">
        <is>
          <t>Hijack Execution Flow</t>
        </is>
      </c>
      <c r="D450" s="16" t="inlineStr">
        <is>
          <t>T1574.014</t>
        </is>
      </c>
      <c r="E450" s="16" t="inlineStr">
        <is>
          <t>AppDomainManager</t>
        </is>
      </c>
      <c r="F450" s="16" t="inlineStr">
        <is>
          <t>Partial</t>
        </is>
      </c>
      <c r="G450" s="16" t="inlineStr">
        <is>
          <t>DID authentication systems consist of various microservices, each of which operates by referencing container-internal paths, environment variables, configuration files, etc. at execution time. If an attacker hijacks the container Entrypoint, API execution scripts, Federation configuration files, etc., VC forgery, authentication-flow tampering, and malicious payload execution can result. In particular, attacks disguised as normal execution are possible by intercepting module import paths in Node.js, Python, etc., or by modifying the PATH or ENTRYPOINT of the runtime environment.
Structural relevance:
- DID Wallet (Client): Low (client app execution paths are generally fixed and verified, making external path manipulation difficult).
- DID Agent Server: High (risk of path hijacking in the Entrypoint and API execution logic).
- VC issuer / CredentialStatus API: High (control points exist in the container-internal execution flow, and Federation configuration or verification logic can be hijacked).</t>
        </is>
      </c>
      <c r="H450" s="16" t="inlineStr">
        <is>
          <t>1. Interpreter-based DID services such as Node.js and Python have many hijacking points in module imports, configuration paths, execution paths, etc.
2. If scripts inside the container (start.sh, entrypoint.py, etc.) are replaced or execution is induced to pass through Federation files, malicious code runs while appearing to be normal execution.
3. By altering the execution flow, an attacker can run a forged module instead of the legitimate issuer, or forcibly change the Federation domain to manipulate authentication results.</t>
        </is>
      </c>
      <c r="I450" s="16" t="inlineStr">
        <is>
          <t>VC forgery, policy changes, trusted-domain masquerading, etc.</t>
        </is>
      </c>
      <c r="J450" s="16" t="inlineStr">
        <is>
          <t>1. Fix container Entrypoints and service execution scripts in immutable images and minimize dependence on external paths.
2. Restrict dynamic referencing of paths through environment variables when referencing configuration files or Federation policies.
3. Record integrity hashes of execution paths and imported modules in advance and verify them periodically.
4. Predefine and lock environment variables that affect the execution flow (PATH, PYTHONPATH, etc.).
5. Generate execution-trigger logs at the entry points of verifiers and issuers, and monitor by comparing recorded hashes of executed modules or files.</t>
        </is>
      </c>
      <c r="K450" s="16" t="n"/>
      <c r="L450" s="16" t="inlineStr">
        <is>
          <t>https://attack.mitre.org/techniques/T1574</t>
        </is>
      </c>
    </row>
    <row r="451" ht="180.55" customHeight="1" s="7">
      <c r="A451" s="16" t="inlineStr">
        <is>
          <t>Defense Evasion</t>
        </is>
      </c>
      <c r="B451" s="16" t="inlineStr">
        <is>
          <t>T1562</t>
        </is>
      </c>
      <c r="C451" s="16" t="inlineStr">
        <is>
          <t>Impair Defenses</t>
        </is>
      </c>
      <c r="D451" s="16" t="inlineStr">
        <is>
          <t>T1562.001</t>
        </is>
      </c>
      <c r="E451" s="16" t="inlineStr">
        <is>
          <t>Disable or Modify Tools</t>
        </is>
      </c>
      <c r="F451" s="16" t="inlineStr">
        <is>
          <t>Partial</t>
        </is>
      </c>
      <c r="G451"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1"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1" s="16" t="inlineStr">
        <is>
          <t>DID system</t>
        </is>
      </c>
      <c r="J451"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1" s="16" t="n"/>
      <c r="L451" s="16" t="inlineStr">
        <is>
          <t>https://attack.mitre.org/techniques/T1562</t>
        </is>
      </c>
    </row>
    <row r="452" ht="180.55" customHeight="1" s="7">
      <c r="A452" s="16" t="inlineStr">
        <is>
          <t>Defense Evasion</t>
        </is>
      </c>
      <c r="B452" s="16" t="inlineStr">
        <is>
          <t>T1562</t>
        </is>
      </c>
      <c r="C452" s="16" t="inlineStr">
        <is>
          <t>Impair Defenses</t>
        </is>
      </c>
      <c r="D452" s="16" t="inlineStr">
        <is>
          <t>T1562.002</t>
        </is>
      </c>
      <c r="E452" s="16" t="inlineStr">
        <is>
          <t>Disable Windows Event Logging</t>
        </is>
      </c>
      <c r="F452" s="16" t="inlineStr">
        <is>
          <t>Partial</t>
        </is>
      </c>
      <c r="G452"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2"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2" s="16" t="inlineStr">
        <is>
          <t>DID system</t>
        </is>
      </c>
      <c r="J452"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2" s="16" t="n"/>
      <c r="L452" s="16" t="inlineStr">
        <is>
          <t>https://attack.mitre.org/techniques/T1562</t>
        </is>
      </c>
    </row>
    <row r="453" ht="180.55" customHeight="1" s="7">
      <c r="A453" s="16" t="inlineStr">
        <is>
          <t>Defense Evasion</t>
        </is>
      </c>
      <c r="B453" s="16" t="inlineStr">
        <is>
          <t>T1562</t>
        </is>
      </c>
      <c r="C453" s="16" t="inlineStr">
        <is>
          <t>Impair Defenses</t>
        </is>
      </c>
      <c r="D453" s="16" t="inlineStr">
        <is>
          <t>T1562.003</t>
        </is>
      </c>
      <c r="E453" s="16" t="inlineStr">
        <is>
          <t>Impair Command History Logging</t>
        </is>
      </c>
      <c r="F453" s="16" t="inlineStr">
        <is>
          <t>Partial</t>
        </is>
      </c>
      <c r="G453"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3"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3" s="16" t="inlineStr">
        <is>
          <t>Log files, serverless logging, API logging, and VC audit records.</t>
        </is>
      </c>
      <c r="J453"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3" s="16" t="n"/>
      <c r="L453" s="16" t="inlineStr">
        <is>
          <t>https://attack.mitre.org/techniques/T1562</t>
        </is>
      </c>
    </row>
    <row r="454" ht="180.55" customHeight="1" s="7">
      <c r="A454" s="16" t="inlineStr">
        <is>
          <t>Defense Evasion</t>
        </is>
      </c>
      <c r="B454" s="16" t="inlineStr">
        <is>
          <t>T1562</t>
        </is>
      </c>
      <c r="C454" s="16" t="inlineStr">
        <is>
          <t>Impair Defenses</t>
        </is>
      </c>
      <c r="D454" s="16" t="inlineStr">
        <is>
          <t>T1562.004</t>
        </is>
      </c>
      <c r="E454" s="16" t="inlineStr">
        <is>
          <t>Disable or Modify System Firewall</t>
        </is>
      </c>
      <c r="F454" s="16" t="inlineStr">
        <is>
          <t>Partial</t>
        </is>
      </c>
      <c r="G454"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4"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4" s="16" t="inlineStr">
        <is>
          <t>Log files, serverless logging, API logging, and VC audit records.</t>
        </is>
      </c>
      <c r="J454"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4" s="16" t="n"/>
      <c r="L454" s="16" t="inlineStr">
        <is>
          <t>https://attack.mitre.org/techniques/T1562</t>
        </is>
      </c>
    </row>
    <row r="455" ht="180.55" customHeight="1" s="7">
      <c r="A455" s="16" t="inlineStr">
        <is>
          <t>Defense Evasion</t>
        </is>
      </c>
      <c r="B455" s="16" t="inlineStr">
        <is>
          <t>T1562</t>
        </is>
      </c>
      <c r="C455" s="16" t="inlineStr">
        <is>
          <t>Impair Defenses</t>
        </is>
      </c>
      <c r="D455" s="16" t="inlineStr">
        <is>
          <t>T1562.006</t>
        </is>
      </c>
      <c r="E455" s="16" t="inlineStr">
        <is>
          <t>Indicator Blocking</t>
        </is>
      </c>
      <c r="F455" s="16" t="inlineStr">
        <is>
          <t>Partial</t>
        </is>
      </c>
      <c r="G455"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5"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5" s="16" t="inlineStr">
        <is>
          <t>Log files, serverless logging, API logging, and VC audit records.</t>
        </is>
      </c>
      <c r="J455"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5" s="16" t="n"/>
      <c r="L455" s="16" t="inlineStr">
        <is>
          <t>https://attack.mitre.org/techniques/T1562</t>
        </is>
      </c>
    </row>
    <row r="456" ht="180.55" customHeight="1" s="7">
      <c r="A456" s="16" t="inlineStr">
        <is>
          <t>Defense Evasion</t>
        </is>
      </c>
      <c r="B456" s="16" t="inlineStr">
        <is>
          <t>T1562</t>
        </is>
      </c>
      <c r="C456" s="16" t="inlineStr">
        <is>
          <t>Impair Defenses</t>
        </is>
      </c>
      <c r="D456" s="16" t="inlineStr">
        <is>
          <t>T1562.007</t>
        </is>
      </c>
      <c r="E456" s="16" t="inlineStr">
        <is>
          <t>Disable or Modify Cloud Firewall</t>
        </is>
      </c>
      <c r="F456" s="16" t="inlineStr">
        <is>
          <t>Partial</t>
        </is>
      </c>
      <c r="G456"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6"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6" s="16" t="inlineStr">
        <is>
          <t>Operator privileges in cloud or container environments.</t>
        </is>
      </c>
      <c r="J456"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6" s="16" t="n"/>
      <c r="L456" s="16" t="inlineStr">
        <is>
          <t>https://attack.mitre.org/techniques/T1562</t>
        </is>
      </c>
    </row>
    <row r="457" ht="180.55" customHeight="1" s="7">
      <c r="A457" s="16" t="inlineStr">
        <is>
          <t>Defense Evasion</t>
        </is>
      </c>
      <c r="B457" s="16" t="inlineStr">
        <is>
          <t>T1562</t>
        </is>
      </c>
      <c r="C457" s="16" t="inlineStr">
        <is>
          <t>Impair Defenses</t>
        </is>
      </c>
      <c r="D457" s="16" t="inlineStr">
        <is>
          <t>T1562.008</t>
        </is>
      </c>
      <c r="E457" s="16" t="inlineStr">
        <is>
          <t>Disable or Modify Cloud Logs</t>
        </is>
      </c>
      <c r="F457" s="16" t="inlineStr">
        <is>
          <t>Partial</t>
        </is>
      </c>
      <c r="G457"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7"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7" s="16" t="inlineStr">
        <is>
          <t>Operator privileges in cloud or container environments.</t>
        </is>
      </c>
      <c r="J457"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7" s="16" t="n"/>
      <c r="L457" s="16" t="inlineStr">
        <is>
          <t>https://attack.mitre.org/techniques/T1562</t>
        </is>
      </c>
    </row>
    <row r="458" ht="180.55" customHeight="1" s="7">
      <c r="A458" s="16" t="inlineStr">
        <is>
          <t>Defense Evasion</t>
        </is>
      </c>
      <c r="B458" s="16" t="inlineStr">
        <is>
          <t>T1562</t>
        </is>
      </c>
      <c r="C458" s="16" t="inlineStr">
        <is>
          <t>Impair Defenses</t>
        </is>
      </c>
      <c r="D458" s="16" t="inlineStr">
        <is>
          <t>T1562.009</t>
        </is>
      </c>
      <c r="E458" s="16" t="inlineStr">
        <is>
          <t>Safe Mode Boot</t>
        </is>
      </c>
      <c r="F458" s="16" t="inlineStr">
        <is>
          <t>Partial</t>
        </is>
      </c>
      <c r="G458"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8"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8" s="16" t="inlineStr">
        <is>
          <t>Operator privileges in cloud or container environments.</t>
        </is>
      </c>
      <c r="J458"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8" s="16" t="n"/>
      <c r="L458" s="16" t="inlineStr">
        <is>
          <t>https://attack.mitre.org/techniques/T1562</t>
        </is>
      </c>
    </row>
    <row r="459" ht="180.55" customHeight="1" s="7">
      <c r="A459" s="16" t="inlineStr">
        <is>
          <t>Defense Evasion</t>
        </is>
      </c>
      <c r="B459" s="16" t="inlineStr">
        <is>
          <t>T1562</t>
        </is>
      </c>
      <c r="C459" s="16" t="inlineStr">
        <is>
          <t>Impair Defenses</t>
        </is>
      </c>
      <c r="D459" s="16" t="inlineStr">
        <is>
          <t>T1562.010</t>
        </is>
      </c>
      <c r="E459" s="16" t="inlineStr">
        <is>
          <t>Downgrade Attack</t>
        </is>
      </c>
      <c r="F459" s="16" t="inlineStr">
        <is>
          <t>Partial</t>
        </is>
      </c>
      <c r="G459"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59"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59" s="16" t="inlineStr">
        <is>
          <t>Requires API Gateway logs, S3 bucket access logs, and log file integrity verification.</t>
        </is>
      </c>
      <c r="J459"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59" s="16" t="n"/>
      <c r="L459" s="16" t="inlineStr">
        <is>
          <t>https://attack.mitre.org/techniques/T1562</t>
        </is>
      </c>
    </row>
    <row r="460" ht="180.55" customHeight="1" s="7">
      <c r="A460" s="16" t="inlineStr">
        <is>
          <t>Defense Evasion</t>
        </is>
      </c>
      <c r="B460" s="16" t="inlineStr">
        <is>
          <t>T1562</t>
        </is>
      </c>
      <c r="C460" s="16" t="inlineStr">
        <is>
          <t>Impair Defenses</t>
        </is>
      </c>
      <c r="D460" s="16" t="inlineStr">
        <is>
          <t>T1562.011</t>
        </is>
      </c>
      <c r="E460" s="16" t="inlineStr">
        <is>
          <t>Spoof Security Alerting</t>
        </is>
      </c>
      <c r="F460" s="16" t="inlineStr">
        <is>
          <t>Partial</t>
        </is>
      </c>
      <c r="G460"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60"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60" s="16" t="inlineStr">
        <is>
          <t>Requires API Gateway logs, S3 bucket access logs, and log file integrity verification.</t>
        </is>
      </c>
      <c r="J460"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60" s="16" t="n"/>
      <c r="L460" s="16" t="inlineStr">
        <is>
          <t>https://attack.mitre.org/techniques/T1562</t>
        </is>
      </c>
    </row>
    <row r="461" ht="180.55" customHeight="1" s="7">
      <c r="A461" s="16" t="inlineStr">
        <is>
          <t>Defense Evasion</t>
        </is>
      </c>
      <c r="B461" s="16" t="inlineStr">
        <is>
          <t>T1562</t>
        </is>
      </c>
      <c r="C461" s="16" t="inlineStr">
        <is>
          <t>Impair Defenses</t>
        </is>
      </c>
      <c r="D461" s="16" t="inlineStr">
        <is>
          <t>T1562.012</t>
        </is>
      </c>
      <c r="E461" s="16" t="inlineStr">
        <is>
          <t>Disable or Modify Linux Audit System</t>
        </is>
      </c>
      <c r="F461" s="16" t="inlineStr">
        <is>
          <t>Partial</t>
        </is>
      </c>
      <c r="G461" s="16" t="inlineStr">
        <is>
          <t>DID frameworks generally use user-centric authentication flows, microservice-based server configurations, and cloud infrastructure, so they do not match traditional OS-based techniques for disabling security directly. However, impairment of defenses can occur in the following forms:
- Logging functions of the VC issuer, verifier, and Credential Status server are disabled through configuration files or API calls.
- Serverless functions (AWS Lambda) or container entrypoints run with audit functions removed.
- VC logs are manipulated or deleted to make tracing impossible.
Structural relevance:
- DID Wallet (Client): Low (limited possibility of local log manipulation).
- DID Agent Server / VC issuer / verifier: High (logs can be deleted or disabled in Python/Node-based logic).
- CredentialStatus API / log collector: Medium (defenses can be manipulated when the log store or monitoring system is accessed).</t>
        </is>
      </c>
      <c r="H461" s="16" t="inlineStr">
        <is>
          <t>1. VC issuance and verification processes rely on log-based verification and subsequent audit trails.
2. Operators can disable logging and auditing through settings of Containers, Lambda, API Gateway, etc.
3. If an attacker takes over operator privileges or CI/CD accounts, defenses can be bypassed through log disabling, file deletion, etc.</t>
        </is>
      </c>
      <c r="I461" s="16" t="inlineStr">
        <is>
          <t>Requires API Gateway logs, S3 bucket access logs, and log file integrity verification.</t>
        </is>
      </c>
      <c r="J461" s="16" t="inlineStr">
        <is>
          <t>1. Define audit log retention policies for all VC issuance/verification logic and record retention periods and change history.
2. Configure CI/CD rules that verify security logging is mandatorily enabled when deploying serverless functions/containers.
3. Introduce a policy of immediate alert propagation or halting when audit log transmission or storage fails within VC processing logic.
4. Define detection rules for cloud logging disablement events in CloudWatch, GCP Stackdriver, etc.</t>
        </is>
      </c>
      <c r="K461" s="16" t="n"/>
      <c r="L461" s="16" t="inlineStr">
        <is>
          <t>https://attack.mitre.org/techniques/T1562</t>
        </is>
      </c>
    </row>
    <row r="462" ht="202.95" customHeight="1" s="7">
      <c r="A462" s="16" t="inlineStr">
        <is>
          <t>Defense Evasion</t>
        </is>
      </c>
      <c r="B462" s="16" t="inlineStr">
        <is>
          <t>T1656</t>
        </is>
      </c>
      <c r="C462" s="16" t="inlineStr">
        <is>
          <t>Impersonation</t>
        </is>
      </c>
      <c r="D462" s="16" t="n"/>
      <c r="E462" s="16" t="n"/>
      <c r="F462" s="16" t="inlineStr">
        <is>
          <t>Partial</t>
        </is>
      </c>
      <c r="G462" s="16" t="inlineStr">
        <is>
          <t>Because DID systems establish signature-based trust without a centralized identity authenticator, "user impersonation" in the traditional sense is partly limited.
- A third party other than the VC issuer forges a VC to impersonate an authoritative organization.
- A user's DID or an issuing organization's DID is stolen or cloned to induce trust from verifiers.
- Phishing attacks that lure users into using DID-based systems via email, LinkedIn, messaging apps, etc.
- Masquerading as the support team, Helpdesk, or administrator in cloud-authentication-based access flows.
Structural relevance:
- DID Wallet (Client): Medium (the user side may receive impersonated VCs).
- VC issuer/verifier (server): High (target of impersonation attacks using forged organization/issuer DIDs).
- Off-chain delivery/authentication flow: High (trust can be induced via email, messengers, support portals, etc.).</t>
        </is>
      </c>
      <c r="H462" s="16" t="inlineStr">
        <is>
          <t>1. The attacker attempts to deceive verifiers or users by abusing trust-based elements (DIDs, VC issuer names, etc.).
2. The attacker forges or steals authentication tokens (DIDs, VCs) to attempt requests that appear legitimate.</t>
        </is>
      </c>
      <c r="I462" s="16" t="inlineStr">
        <is>
          <t>DID system</t>
        </is>
      </c>
      <c r="J462" s="16" t="inlineStr">
        <is>
          <t>1. Add logic to the client that verifies the counterpart DID and checks the trust level when requesting VCs.
2. Restrict issuer information (DID, domain, key) in DID documents and VCs on an allowlist basis.
3. Require context-based warnings and secondary confirmation for VC sharing methods (email, link, etc.).
4. Secure a direct trust-verification channel between verifier and user (QR, authentication co-signing, etc.).</t>
        </is>
      </c>
      <c r="K462" s="16" t="n"/>
      <c r="L462" s="16" t="inlineStr">
        <is>
          <t>https://attack.mitre.org/techniques/T1656</t>
        </is>
      </c>
    </row>
    <row r="463" ht="147" customHeight="1" s="7">
      <c r="A463" s="16" t="inlineStr">
        <is>
          <t>Defense Evasion</t>
        </is>
      </c>
      <c r="B463" s="16" t="inlineStr">
        <is>
          <t>T1070</t>
        </is>
      </c>
      <c r="C463" s="16" t="inlineStr">
        <is>
          <t>Indicator Removal</t>
        </is>
      </c>
      <c r="D463" s="16" t="inlineStr">
        <is>
          <t>T1070.001</t>
        </is>
      </c>
      <c r="E463" s="16" t="inlineStr">
        <is>
          <t>Clear Windows Event Logs</t>
        </is>
      </c>
      <c r="F463" s="16" t="inlineStr">
        <is>
          <t>Partial</t>
        </is>
      </c>
      <c r="G463"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3"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3" s="16" t="inlineStr">
        <is>
          <t>DID system</t>
        </is>
      </c>
      <c r="J463"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3" s="16" t="n"/>
      <c r="L463" s="16" t="inlineStr">
        <is>
          <t>https://attack.mitre.org/techniques/T1070</t>
        </is>
      </c>
    </row>
    <row r="464" ht="147" customHeight="1" s="7">
      <c r="A464" s="16" t="inlineStr">
        <is>
          <t>Defense Evasion</t>
        </is>
      </c>
      <c r="B464" s="16" t="inlineStr">
        <is>
          <t>T1070</t>
        </is>
      </c>
      <c r="C464" s="16" t="inlineStr">
        <is>
          <t>Indicator Removal</t>
        </is>
      </c>
      <c r="D464" s="16" t="inlineStr">
        <is>
          <t>T1070.002</t>
        </is>
      </c>
      <c r="E464" s="16" t="inlineStr">
        <is>
          <t>Clear Linux or Mac System Logs</t>
        </is>
      </c>
      <c r="F464" s="16" t="inlineStr">
        <is>
          <t>Partial</t>
        </is>
      </c>
      <c r="G464"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4"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4" s="16" t="inlineStr">
        <is>
          <t>VC issuance/verification logs, status-change history, and signature events.</t>
        </is>
      </c>
      <c r="J464"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4" s="16" t="n"/>
      <c r="L464" s="16" t="inlineStr">
        <is>
          <t>https://attack.mitre.org/techniques/T1070</t>
        </is>
      </c>
    </row>
    <row r="465" ht="147" customHeight="1" s="7">
      <c r="A465" s="16" t="inlineStr">
        <is>
          <t>Defense Evasion</t>
        </is>
      </c>
      <c r="B465" s="16" t="inlineStr">
        <is>
          <t>T1070</t>
        </is>
      </c>
      <c r="C465" s="16" t="inlineStr">
        <is>
          <t>Indicator Removal</t>
        </is>
      </c>
      <c r="D465" s="16" t="inlineStr">
        <is>
          <t>T1070.003</t>
        </is>
      </c>
      <c r="E465" s="16" t="inlineStr">
        <is>
          <t>Clear Command History</t>
        </is>
      </c>
      <c r="F465" s="16" t="inlineStr">
        <is>
          <t>Partial</t>
        </is>
      </c>
      <c r="G465"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5"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5" s="16" t="inlineStr">
        <is>
          <t>VC issuance/verification logs, status-change history, and signature events.</t>
        </is>
      </c>
      <c r="J465"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5" s="16" t="n"/>
      <c r="L465" s="16" t="inlineStr">
        <is>
          <t>https://attack.mitre.org/techniques/T1070</t>
        </is>
      </c>
    </row>
    <row r="466" ht="147" customHeight="1" s="7">
      <c r="A466" s="16" t="inlineStr">
        <is>
          <t>Defense Evasion</t>
        </is>
      </c>
      <c r="B466" s="16" t="inlineStr">
        <is>
          <t>T1070</t>
        </is>
      </c>
      <c r="C466" s="16" t="inlineStr">
        <is>
          <t>Indicator Removal</t>
        </is>
      </c>
      <c r="D466" s="16" t="inlineStr">
        <is>
          <t>T1070.004</t>
        </is>
      </c>
      <c r="E466" s="16" t="inlineStr">
        <is>
          <t>File Deletion</t>
        </is>
      </c>
      <c r="F466" s="16" t="inlineStr">
        <is>
          <t>Partial</t>
        </is>
      </c>
      <c r="G466"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6"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6" s="16" t="inlineStr">
        <is>
          <t>VC issuance/verification logs, status-change history, and signature events.</t>
        </is>
      </c>
      <c r="J466"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6" s="16" t="n"/>
      <c r="L466" s="16" t="inlineStr">
        <is>
          <t>https://attack.mitre.org/techniques/T1070</t>
        </is>
      </c>
    </row>
    <row r="467" ht="147" customHeight="1" s="7">
      <c r="A467" s="16" t="inlineStr">
        <is>
          <t>Defense Evasion</t>
        </is>
      </c>
      <c r="B467" s="16" t="inlineStr">
        <is>
          <t>T1070</t>
        </is>
      </c>
      <c r="C467" s="16" t="inlineStr">
        <is>
          <t>Indicator Removal</t>
        </is>
      </c>
      <c r="D467" s="16" t="inlineStr">
        <is>
          <t>T1070.005</t>
        </is>
      </c>
      <c r="E467" s="16" t="inlineStr">
        <is>
          <t>Network Share Connection Removal</t>
        </is>
      </c>
      <c r="F467" s="16" t="inlineStr">
        <is>
          <t>Partial</t>
        </is>
      </c>
      <c r="G467"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7"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7" s="16" t="inlineStr">
        <is>
          <t>Off-chain authentication modules, API servers, and client caches.</t>
        </is>
      </c>
      <c r="J467"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7" s="16" t="n"/>
      <c r="L467" s="16" t="inlineStr">
        <is>
          <t>https://attack.mitre.org/techniques/T1070</t>
        </is>
      </c>
    </row>
    <row r="468" ht="147" customHeight="1" s="7">
      <c r="A468" s="16" t="inlineStr">
        <is>
          <t>Defense Evasion</t>
        </is>
      </c>
      <c r="B468" s="16" t="inlineStr">
        <is>
          <t>T1070</t>
        </is>
      </c>
      <c r="C468" s="16" t="inlineStr">
        <is>
          <t>Indicator Removal</t>
        </is>
      </c>
      <c r="D468" s="16" t="inlineStr">
        <is>
          <t>T1070.006</t>
        </is>
      </c>
      <c r="E468" s="16" t="inlineStr">
        <is>
          <t>Timestomp</t>
        </is>
      </c>
      <c r="F468" s="16" t="inlineStr">
        <is>
          <t>Partial</t>
        </is>
      </c>
      <c r="G468"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8"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8" s="16" t="inlineStr">
        <is>
          <t>Off-chain authentication modules, API servers, and client caches.</t>
        </is>
      </c>
      <c r="J468"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8" s="16" t="n"/>
      <c r="L468" s="16" t="inlineStr">
        <is>
          <t>https://attack.mitre.org/techniques/T1070</t>
        </is>
      </c>
    </row>
    <row r="469" ht="147" customHeight="1" s="7">
      <c r="A469" s="16" t="inlineStr">
        <is>
          <t>Defense Evasion</t>
        </is>
      </c>
      <c r="B469" s="16" t="inlineStr">
        <is>
          <t>T1070</t>
        </is>
      </c>
      <c r="C469" s="16" t="inlineStr">
        <is>
          <t>Indicator Removal</t>
        </is>
      </c>
      <c r="D469" s="16" t="inlineStr">
        <is>
          <t>T1070.007</t>
        </is>
      </c>
      <c r="E469" s="16" t="inlineStr">
        <is>
          <t>Clear Network Connection History and Configurations</t>
        </is>
      </c>
      <c r="F469" s="16" t="inlineStr">
        <is>
          <t>Partial</t>
        </is>
      </c>
      <c r="G469"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69"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69" s="16" t="inlineStr">
        <is>
          <t>Off-chain authentication modules, API servers, and client caches.</t>
        </is>
      </c>
      <c r="J469"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69" s="16" t="n"/>
      <c r="L469" s="16" t="inlineStr">
        <is>
          <t>https://attack.mitre.org/techniques/T1070</t>
        </is>
      </c>
    </row>
    <row r="470" ht="147" customHeight="1" s="7">
      <c r="A470" s="16" t="inlineStr">
        <is>
          <t>Defense Evasion</t>
        </is>
      </c>
      <c r="B470" s="16" t="inlineStr">
        <is>
          <t>T1070</t>
        </is>
      </c>
      <c r="C470" s="16" t="inlineStr">
        <is>
          <t>Indicator Removal</t>
        </is>
      </c>
      <c r="D470" s="16" t="inlineStr">
        <is>
          <t>T1070.008</t>
        </is>
      </c>
      <c r="E470" s="16" t="inlineStr">
        <is>
          <t>Clear Mailbox Data</t>
        </is>
      </c>
      <c r="F470" s="16" t="inlineStr">
        <is>
          <t>Partial</t>
        </is>
      </c>
      <c r="G470"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70"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70" s="16" t="inlineStr">
        <is>
          <t>Authentication-flow manipulation and neutralization of anomaly detection.</t>
        </is>
      </c>
      <c r="J470"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70" s="16" t="n"/>
      <c r="L470" s="16" t="inlineStr">
        <is>
          <t>https://attack.mitre.org/techniques/T1070</t>
        </is>
      </c>
    </row>
    <row r="471" ht="147" customHeight="1" s="7">
      <c r="A471" s="16" t="inlineStr">
        <is>
          <t>Defense Evasion</t>
        </is>
      </c>
      <c r="B471" s="16" t="inlineStr">
        <is>
          <t>T1070</t>
        </is>
      </c>
      <c r="C471" s="16" t="inlineStr">
        <is>
          <t>Indicator Removal</t>
        </is>
      </c>
      <c r="D471" s="16" t="inlineStr">
        <is>
          <t>T1070.009</t>
        </is>
      </c>
      <c r="E471" s="16" t="inlineStr">
        <is>
          <t>Clear Persistence</t>
        </is>
      </c>
      <c r="F471" s="16" t="inlineStr">
        <is>
          <t>Partial</t>
        </is>
      </c>
      <c r="G471"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71"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71" s="16" t="inlineStr">
        <is>
          <t>Authentication-flow manipulation and neutralization of anomaly detection.</t>
        </is>
      </c>
      <c r="J471"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71" s="16" t="n"/>
      <c r="L471" s="16" t="inlineStr">
        <is>
          <t>https://attack.mitre.org/techniques/T1070</t>
        </is>
      </c>
    </row>
    <row r="472" ht="147" customHeight="1" s="7">
      <c r="A472" s="16" t="inlineStr">
        <is>
          <t>Defense Evasion</t>
        </is>
      </c>
      <c r="B472" s="16" t="inlineStr">
        <is>
          <t>T1070</t>
        </is>
      </c>
      <c r="C472" s="16" t="inlineStr">
        <is>
          <t>Indicator Removal</t>
        </is>
      </c>
      <c r="D472" s="16" t="inlineStr">
        <is>
          <t>T1070.010</t>
        </is>
      </c>
      <c r="E472" s="16" t="inlineStr">
        <is>
          <t>Relocate Malware</t>
        </is>
      </c>
      <c r="F472" s="16" t="inlineStr">
        <is>
          <t>Partial</t>
        </is>
      </c>
      <c r="G472" s="16" t="inlineStr">
        <is>
          <t>DID authentication systems rely on behavior-based off-chain events such as VC exchange records, signature requests, and status verification flows rather than traditional security indicators (logs, history, etc.) collected in ordinary OS environments. Therefore, indicator removal differs from its traditional meaning, but deletion and concealment of logs or event records generated within the DID system can be regarded as the same threat.
Structural relevance:
- DID Wallet (Client): Medium (locally stored logs and request caches can be removed).
- DID Agent / VC issuer: High (authentication request/response records and status-change logs can be deleted).
- CredentialStatus API / Event Logger: High (VC status-change logs and signature request history can be deleted).</t>
        </is>
      </c>
      <c r="H472" s="16" t="inlineStr">
        <is>
          <t>1. The attacker attempts to delete or tamper with their activity history to obstruct behavior-based detection or authentication-flow analysis.
2. Threats are concealed through log deletion, manipulation of VC status-change records, resetting of verification records, etc.
3. Used to remove traces after persistent access attempts, impersonation, or use of forged VCs.</t>
        </is>
      </c>
      <c r="I472" s="16" t="inlineStr">
        <is>
          <t>Authentication-flow manipulation and neutralization of anomaly detection.</t>
        </is>
      </c>
      <c r="J472" s="16" t="inlineStr">
        <is>
          <t>1. Introduce a non-deletable audit log structure for critical events such as VC issuance, status changes, and verification requests.
2. Design logs and signature events so that they can be verified and reconstructed based on a Merkle Root.
3. Retain CredentialStatus API call logs separately by IP, token, and DID.
4. Introduce a multi-signature approval structure for status-change requests and VC revocation requests.</t>
        </is>
      </c>
      <c r="K472" s="16" t="n"/>
      <c r="L472" s="16" t="inlineStr">
        <is>
          <t>https://attack.mitre.org/techniques/T1070</t>
        </is>
      </c>
    </row>
    <row r="473" ht="169.4" customHeight="1" s="7">
      <c r="A473" s="16" t="inlineStr">
        <is>
          <t>Defense Evasion</t>
        </is>
      </c>
      <c r="B473" s="16" t="inlineStr">
        <is>
          <t>T1202</t>
        </is>
      </c>
      <c r="C473" s="16" t="inlineStr">
        <is>
          <t>Indirect Command Execution</t>
        </is>
      </c>
      <c r="D473" s="16" t="n"/>
      <c r="E473" s="16" t="n"/>
      <c r="F473" s="16" t="inlineStr">
        <is>
          <t>Partial</t>
        </is>
      </c>
      <c r="G473" s="16" t="inlineStr">
        <is>
          <t>DID systems operate mainly on off-chain microservices based on Node.js, Python, and JavaScript rather than traditional OS command interpreter environments. However, this technique can apply as a form of indirect execution under the following conditions:
- Indirect invocation of the entrypoint in Docker/Kubernetes environments.
- Execution of Node.js scripts included in the verifier via curl/wget, etc.
- Passing and executing external commands using ssh/localCommand options, etc.
Structural relevance:
- DID Agent / VC issuer: High (indirect command execution is possible inside Node.js/WSGI-based servers).
- CredentialStatus API server: Medium (the API server can invoke external bash/python commands).
- DID Wallet (Client): Low (mostly sandboxed execution environments with limited direct execution).</t>
        </is>
      </c>
      <c r="H473" s="16" t="inlineStr">
        <is>
          <t>1. Both abuse indirect command execution structures to bypass security policies and evade detection.
2. If a verification module or authentication trigger structure inside the DID system invokes external commands, that structure can be abused indirectly.
3. Some VC verification systems expose script/Docker command execution through APIs.</t>
        </is>
      </c>
      <c r="I473" s="16" t="inlineStr">
        <is>
          <t>DID system</t>
        </is>
      </c>
      <c r="J473" s="16" t="inlineStr">
        <is>
          <t>1. Restrict, on an allowlist basis, all script/entrypoint invocation structures through which authentication microservices execute external commands.
2. Analyze whether external shell calls (child_process, os.system) are used in Node.js or Python, and enforce restrictions.
3. Fix the ENTRYPOINT and CMD values in Docker images so that they do not change dynamically according to external arguments.
4. If the verifier API has a structure that indirectly invokes bash/python commands, insert integrity verification logic into that flow.</t>
        </is>
      </c>
      <c r="K473" s="16" t="n"/>
      <c r="L473" s="16" t="inlineStr">
        <is>
          <t>https://attack.mitre.org/techniques/T1202</t>
        </is>
      </c>
    </row>
    <row r="474" ht="191.75" customHeight="1" s="7">
      <c r="A474" s="16" t="inlineStr">
        <is>
          <t>Defense Evasion</t>
        </is>
      </c>
      <c r="B474" s="16" t="inlineStr">
        <is>
          <t>T1036</t>
        </is>
      </c>
      <c r="C474" s="16" t="inlineStr">
        <is>
          <t>Masquerading</t>
        </is>
      </c>
      <c r="D474" s="16" t="inlineStr">
        <is>
          <t>T1036.001</t>
        </is>
      </c>
      <c r="E474" s="16" t="inlineStr">
        <is>
          <t>Invalid Code Signature</t>
        </is>
      </c>
      <c r="F474" s="16" t="inlineStr">
        <is>
          <t>Partial</t>
        </is>
      </c>
      <c r="G474"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74"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74" s="16" t="inlineStr">
        <is>
          <t>DID system</t>
        </is>
      </c>
      <c r="J474"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74" s="16" t="n"/>
      <c r="L474" s="16" t="inlineStr">
        <is>
          <t>https://attack.mitre.org/techniques/T1036</t>
        </is>
      </c>
    </row>
    <row r="475" ht="191.75" customHeight="1" s="7">
      <c r="A475" s="16" t="inlineStr">
        <is>
          <t>Defense Evasion</t>
        </is>
      </c>
      <c r="B475" s="16" t="inlineStr">
        <is>
          <t>T1036</t>
        </is>
      </c>
      <c r="C475" s="16" t="inlineStr">
        <is>
          <t>Masquerading</t>
        </is>
      </c>
      <c r="D475" s="16" t="inlineStr">
        <is>
          <t>T1036.002</t>
        </is>
      </c>
      <c r="E475" s="16" t="inlineStr">
        <is>
          <t>Right-to-Left Override</t>
        </is>
      </c>
      <c r="F475" s="16" t="inlineStr">
        <is>
          <t>Partial</t>
        </is>
      </c>
      <c r="G475"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75"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75" s="16" t="inlineStr">
        <is>
          <t>VC objects, filenames, resource URIs, and API parameters.</t>
        </is>
      </c>
      <c r="J475"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75" s="16" t="n"/>
      <c r="L475" s="16" t="inlineStr">
        <is>
          <t>https://attack.mitre.org/techniques/T1036</t>
        </is>
      </c>
    </row>
    <row r="476" ht="191.75" customHeight="1" s="7">
      <c r="A476" s="16" t="inlineStr">
        <is>
          <t>Defense Evasion</t>
        </is>
      </c>
      <c r="B476" s="16" t="inlineStr">
        <is>
          <t>T1036</t>
        </is>
      </c>
      <c r="C476" s="16" t="inlineStr">
        <is>
          <t>Masquerading</t>
        </is>
      </c>
      <c r="D476" s="16" t="inlineStr">
        <is>
          <t>T1036.003</t>
        </is>
      </c>
      <c r="E476" s="16" t="inlineStr">
        <is>
          <t>Rename Legitimate Utilities</t>
        </is>
      </c>
      <c r="F476" s="16" t="inlineStr">
        <is>
          <t>Partial</t>
        </is>
      </c>
      <c r="G476"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76"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76" s="16" t="inlineStr">
        <is>
          <t>VC objects, filenames, resource URIs, and API parameters.</t>
        </is>
      </c>
      <c r="J476"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76" s="16" t="n"/>
      <c r="L476" s="16" t="inlineStr">
        <is>
          <t>https://attack.mitre.org/techniques/T1036</t>
        </is>
      </c>
    </row>
    <row r="477" ht="191.75" customHeight="1" s="7">
      <c r="A477" s="16" t="inlineStr">
        <is>
          <t>Defense Evasion</t>
        </is>
      </c>
      <c r="B477" s="16" t="inlineStr">
        <is>
          <t>T1036</t>
        </is>
      </c>
      <c r="C477" s="16" t="inlineStr">
        <is>
          <t>Masquerading</t>
        </is>
      </c>
      <c r="D477" s="16" t="inlineStr">
        <is>
          <t>T1036.004</t>
        </is>
      </c>
      <c r="E477" s="16" t="inlineStr">
        <is>
          <t>Masquerade Task or Service</t>
        </is>
      </c>
      <c r="F477" s="16" t="inlineStr">
        <is>
          <t>Partial</t>
        </is>
      </c>
      <c r="G477"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77"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77" s="16" t="inlineStr">
        <is>
          <t>VC objects, filenames, resource URIs, and API parameters.</t>
        </is>
      </c>
      <c r="J477"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77" s="16" t="n"/>
      <c r="L477" s="16" t="inlineStr">
        <is>
          <t>https://attack.mitre.org/techniques/T1036</t>
        </is>
      </c>
    </row>
    <row r="478" ht="191.75" customHeight="1" s="7">
      <c r="A478" s="16" t="inlineStr">
        <is>
          <t>Defense Evasion</t>
        </is>
      </c>
      <c r="B478" s="16" t="inlineStr">
        <is>
          <t>T1036</t>
        </is>
      </c>
      <c r="C478" s="16" t="inlineStr">
        <is>
          <t>Masquerading</t>
        </is>
      </c>
      <c r="D478" s="16" t="inlineStr">
        <is>
          <t>T1036.005</t>
        </is>
      </c>
      <c r="E478" s="16" t="inlineStr">
        <is>
          <t>Match Legitimate Resource Name or Location</t>
        </is>
      </c>
      <c r="F478" s="16" t="inlineStr">
        <is>
          <t>Partial</t>
        </is>
      </c>
      <c r="G478"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78"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78" s="16" t="inlineStr">
        <is>
          <t>Requires analysis of JSON-LD structural integrity and VC field-value patterns.</t>
        </is>
      </c>
      <c r="J478"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78" s="16" t="n"/>
      <c r="L478" s="16" t="inlineStr">
        <is>
          <t>https://attack.mitre.org/techniques/T1036</t>
        </is>
      </c>
    </row>
    <row r="479" ht="191.75" customHeight="1" s="7">
      <c r="A479" s="16" t="inlineStr">
        <is>
          <t>Defense Evasion</t>
        </is>
      </c>
      <c r="B479" s="16" t="inlineStr">
        <is>
          <t>T1036</t>
        </is>
      </c>
      <c r="C479" s="16" t="inlineStr">
        <is>
          <t>Masquerading</t>
        </is>
      </c>
      <c r="D479" s="16" t="inlineStr">
        <is>
          <t>T1036.006</t>
        </is>
      </c>
      <c r="E479" s="16" t="inlineStr">
        <is>
          <t>Space after Filename</t>
        </is>
      </c>
      <c r="F479" s="16" t="inlineStr">
        <is>
          <t>Partial</t>
        </is>
      </c>
      <c r="G479"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79"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79" s="16" t="inlineStr">
        <is>
          <t>Requires analysis of JSON-LD structural integrity and VC field-value patterns.</t>
        </is>
      </c>
      <c r="J479"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79" s="16" t="n"/>
      <c r="L479" s="16" t="inlineStr">
        <is>
          <t>https://attack.mitre.org/techniques/T1036</t>
        </is>
      </c>
    </row>
    <row r="480" ht="191.75" customHeight="1" s="7">
      <c r="A480" s="16" t="inlineStr">
        <is>
          <t>Defense Evasion</t>
        </is>
      </c>
      <c r="B480" s="16" t="inlineStr">
        <is>
          <t>T1036</t>
        </is>
      </c>
      <c r="C480" s="16" t="inlineStr">
        <is>
          <t>Masquerading</t>
        </is>
      </c>
      <c r="D480" s="16" t="inlineStr">
        <is>
          <t>T1036.007</t>
        </is>
      </c>
      <c r="E480" s="16" t="inlineStr">
        <is>
          <t>Double File Extension</t>
        </is>
      </c>
      <c r="F480" s="16" t="inlineStr">
        <is>
          <t>Partial</t>
        </is>
      </c>
      <c r="G480"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80"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80" s="16" t="inlineStr">
        <is>
          <t>Requires analysis of JSON-LD structural integrity and VC field-value patterns.</t>
        </is>
      </c>
      <c r="J480"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80" s="16" t="n"/>
      <c r="L480" s="16" t="inlineStr">
        <is>
          <t>https://attack.mitre.org/techniques/T1036</t>
        </is>
      </c>
    </row>
    <row r="481" ht="191.75" customHeight="1" s="7">
      <c r="A481" s="16" t="inlineStr">
        <is>
          <t>Defense Evasion</t>
        </is>
      </c>
      <c r="B481" s="16" t="inlineStr">
        <is>
          <t>T1036</t>
        </is>
      </c>
      <c r="C481" s="16" t="inlineStr">
        <is>
          <t>Masquerading</t>
        </is>
      </c>
      <c r="D481" s="16" t="inlineStr">
        <is>
          <t>T1036.008</t>
        </is>
      </c>
      <c r="E481" s="16" t="inlineStr">
        <is>
          <t>Masquerade File Type</t>
        </is>
      </c>
      <c r="F481" s="16" t="inlineStr">
        <is>
          <t>Partial</t>
        </is>
      </c>
      <c r="G481"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81"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81" s="16" t="inlineStr">
        <is>
          <t>Requires analysis of JSON-LD structural integrity and VC field-value patterns.</t>
        </is>
      </c>
      <c r="J481"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81" s="16" t="n"/>
      <c r="L481" s="16" t="inlineStr">
        <is>
          <t>https://attack.mitre.org/techniques/T1036</t>
        </is>
      </c>
    </row>
    <row r="482" ht="191.75" customHeight="1" s="7">
      <c r="A482" s="16" t="inlineStr">
        <is>
          <t>Defense Evasion</t>
        </is>
      </c>
      <c r="B482" s="16" t="inlineStr">
        <is>
          <t>T1036</t>
        </is>
      </c>
      <c r="C482" s="16" t="inlineStr">
        <is>
          <t>Masquerading</t>
        </is>
      </c>
      <c r="D482" s="16" t="inlineStr">
        <is>
          <t>T1036.009</t>
        </is>
      </c>
      <c r="E482" s="16" t="inlineStr">
        <is>
          <t>Break Process Trees</t>
        </is>
      </c>
      <c r="F482" s="16" t="inlineStr">
        <is>
          <t>Partial</t>
        </is>
      </c>
      <c r="G482"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82"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82" s="16" t="inlineStr">
        <is>
          <t>Bypass attempts during upload or VC processing.</t>
        </is>
      </c>
      <c r="J482"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82" s="16" t="n"/>
      <c r="L482" s="16" t="inlineStr">
        <is>
          <t>https://attack.mitre.org/techniques/T1036</t>
        </is>
      </c>
    </row>
    <row r="483" ht="191.75" customHeight="1" s="7">
      <c r="A483" s="16" t="inlineStr">
        <is>
          <t>Defense Evasion</t>
        </is>
      </c>
      <c r="B483" s="16" t="inlineStr">
        <is>
          <t>T1036</t>
        </is>
      </c>
      <c r="C483" s="16" t="inlineStr">
        <is>
          <t>Masquerading</t>
        </is>
      </c>
      <c r="D483" s="16" t="inlineStr">
        <is>
          <t>T1036.010</t>
        </is>
      </c>
      <c r="E483" s="16" t="inlineStr">
        <is>
          <t>Masquerade Account Name</t>
        </is>
      </c>
      <c r="F483" s="16" t="inlineStr">
        <is>
          <t>Partial</t>
        </is>
      </c>
      <c r="G483"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83"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83" s="16" t="inlineStr">
        <is>
          <t>Bypass attempts during upload or VC processing.</t>
        </is>
      </c>
      <c r="J483"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83" s="16" t="n"/>
      <c r="L483" s="16" t="inlineStr">
        <is>
          <t>https://attack.mitre.org/techniques/T1036</t>
        </is>
      </c>
    </row>
    <row r="484" ht="191.75" customHeight="1" s="7">
      <c r="A484" s="16" t="inlineStr">
        <is>
          <t>Defense Evasion</t>
        </is>
      </c>
      <c r="B484" s="16" t="inlineStr">
        <is>
          <t>T1036</t>
        </is>
      </c>
      <c r="C484" s="16" t="inlineStr">
        <is>
          <t>Masquerading</t>
        </is>
      </c>
      <c r="D484" s="16" t="inlineStr">
        <is>
          <t>T1036.011</t>
        </is>
      </c>
      <c r="E484" s="16" t="inlineStr">
        <is>
          <t>Overwrite Process Arguments</t>
        </is>
      </c>
      <c r="F484" s="16" t="inlineStr">
        <is>
          <t>Partial</t>
        </is>
      </c>
      <c r="G484" s="16" t="inlineStr">
        <is>
          <t>DID systems center on web/mobile apps, JSON-based VC objects, and metadata-driven authentication flows, so traditional PE file masquerading rarely appears. However, VC files, scripts for authentication requests, and names of DID-related resources can be disguised, and threats exist in the following ways:
- Disguising malicious VC files as .jpg, .pdf, etc. instead of .json, or using double extensions.
- VC issuer URLs that look like legitimate services (https://wallet-support.xyz).
- Scripts executed inside the verifier (verify.sh, entrypoint.py) load disguised files.
Structural relevance:
- DID Wallet (Client): Medium (users may upload disguised VC files).
- DID verifier / VC parser: High (verification logic depends on file type and can be bypassed with disguised files).
- CredentialStatus API: Low (mainly URI-based processing, so the effect of masquerading is limited).</t>
        </is>
      </c>
      <c r="H484" s="16" t="inlineStr">
        <is>
          <t>1. A technique that deceives users/systems by making resources, VCs, accounts, or services appear legitimate.
2. DID systems also use file-based authentication objects (VCs), JSON-LD, and metadata-based requests, so name/format masquerading can be a direct means of bypass.</t>
        </is>
      </c>
      <c r="I484" s="16" t="inlineStr">
        <is>
          <t>Bypass attempts during upload or VC processing.</t>
        </is>
      </c>
      <c r="J484" s="16" t="inlineStr">
        <is>
          <t>1. Introduce verification of the extension, MIME type, and file-header magic bytes when VCs are uploaded.
2. For file-based VC authentication, apply pattern detection based on filename, path, and metadata.
3. Apply an allowlist for filenames/arguments in modules that the verifier's internal scripts call externally.
4. Strengthen naming rules for account/entity identifiers (DID, subject ID, etc.) to prevent masquerading.</t>
        </is>
      </c>
      <c r="K484" s="16" t="n"/>
      <c r="L484" s="16" t="inlineStr">
        <is>
          <t>https://attack.mitre.org/techniques/T1036</t>
        </is>
      </c>
    </row>
    <row r="485" ht="169.4" customHeight="1" s="7">
      <c r="A485" s="16" t="inlineStr">
        <is>
          <t>Defense Evasion</t>
        </is>
      </c>
      <c r="B485" s="16" t="inlineStr">
        <is>
          <t>T1556</t>
        </is>
      </c>
      <c r="C485" s="16" t="inlineStr">
        <is>
          <t>Modify Authentication Process</t>
        </is>
      </c>
      <c r="D485" s="16" t="inlineStr">
        <is>
          <t>T1556.001</t>
        </is>
      </c>
      <c r="E485" s="16" t="inlineStr">
        <is>
          <t>Domain Controller Authentication</t>
        </is>
      </c>
      <c r="F485" s="16" t="inlineStr">
        <is>
          <t>Full</t>
        </is>
      </c>
      <c r="G485"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85"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85" s="16" t="inlineStr">
        <is>
          <t>DID system</t>
        </is>
      </c>
      <c r="J485"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85" s="16" t="n"/>
      <c r="L485" s="16" t="inlineStr">
        <is>
          <t>https://attack.mitre.org/techniques/T1556</t>
        </is>
      </c>
    </row>
    <row r="486" ht="169.4" customHeight="1" s="7">
      <c r="A486" s="16" t="inlineStr">
        <is>
          <t>Defense Evasion</t>
        </is>
      </c>
      <c r="B486" s="16" t="inlineStr">
        <is>
          <t>T1556</t>
        </is>
      </c>
      <c r="C486" s="16" t="inlineStr">
        <is>
          <t>Modify Authentication Process</t>
        </is>
      </c>
      <c r="D486" s="16" t="inlineStr">
        <is>
          <t>T1556.002</t>
        </is>
      </c>
      <c r="E486" s="16" t="inlineStr">
        <is>
          <t>Password Filter DLL</t>
        </is>
      </c>
      <c r="F486" s="16" t="inlineStr">
        <is>
          <t>Full</t>
        </is>
      </c>
      <c r="G486"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86"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86" s="16" t="inlineStr">
        <is>
          <t>Authentication based on VCs, JWTs, and wallet signatures.</t>
        </is>
      </c>
      <c r="J486"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86" s="16" t="n"/>
      <c r="L486" s="16" t="inlineStr">
        <is>
          <t>https://attack.mitre.org/techniques/T1556</t>
        </is>
      </c>
    </row>
    <row r="487" ht="169.4" customHeight="1" s="7">
      <c r="A487" s="16" t="inlineStr">
        <is>
          <t>Defense Evasion</t>
        </is>
      </c>
      <c r="B487" s="16" t="inlineStr">
        <is>
          <t>T1556</t>
        </is>
      </c>
      <c r="C487" s="16" t="inlineStr">
        <is>
          <t>Modify Authentication Process</t>
        </is>
      </c>
      <c r="D487" s="16" t="inlineStr">
        <is>
          <t>T1556.003</t>
        </is>
      </c>
      <c r="E487" s="16" t="inlineStr">
        <is>
          <t>Pluggable Authentication Modules</t>
        </is>
      </c>
      <c r="F487" s="16" t="inlineStr">
        <is>
          <t>Full</t>
        </is>
      </c>
      <c r="G487"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87"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87" s="16" t="inlineStr">
        <is>
          <t>Authentication based on VCs, JWTs, and wallet signatures.</t>
        </is>
      </c>
      <c r="J487"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87" s="16" t="n"/>
      <c r="L487" s="16" t="inlineStr">
        <is>
          <t>https://attack.mitre.org/techniques/T1556</t>
        </is>
      </c>
    </row>
    <row r="488" ht="169.4" customHeight="1" s="7">
      <c r="A488" s="16" t="inlineStr">
        <is>
          <t>Defense Evasion</t>
        </is>
      </c>
      <c r="B488" s="16" t="inlineStr">
        <is>
          <t>T1556</t>
        </is>
      </c>
      <c r="C488" s="16" t="inlineStr">
        <is>
          <t>Modify Authentication Process</t>
        </is>
      </c>
      <c r="D488" s="16" t="inlineStr">
        <is>
          <t>T1556.008</t>
        </is>
      </c>
      <c r="E488" s="16" t="inlineStr">
        <is>
          <t>Network Provider DLL</t>
        </is>
      </c>
      <c r="F488" s="16" t="inlineStr">
        <is>
          <t>Full</t>
        </is>
      </c>
      <c r="G488"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88"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88" s="16" t="inlineStr">
        <is>
          <t>VC verifiers and authentication trigger conditions between wallet and server.</t>
        </is>
      </c>
      <c r="J488"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88" s="16" t="n"/>
      <c r="L488" s="16" t="inlineStr">
        <is>
          <t>https://attack.mitre.org/techniques/T1556</t>
        </is>
      </c>
    </row>
    <row r="489" ht="169.4" customHeight="1" s="7">
      <c r="A489" s="16" t="inlineStr">
        <is>
          <t>Defense Evasion</t>
        </is>
      </c>
      <c r="B489" s="16" t="inlineStr">
        <is>
          <t>T1556</t>
        </is>
      </c>
      <c r="C489" s="16" t="inlineStr">
        <is>
          <t>Modify Authentication Process</t>
        </is>
      </c>
      <c r="D489" s="16" t="inlineStr">
        <is>
          <t>T1556.005</t>
        </is>
      </c>
      <c r="E489" s="16" t="inlineStr">
        <is>
          <t>Reversible Encryption</t>
        </is>
      </c>
      <c r="F489" s="16" t="inlineStr">
        <is>
          <t>Full</t>
        </is>
      </c>
      <c r="G489"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89"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89" s="16" t="inlineStr">
        <is>
          <t>VC verifiers and authentication trigger conditions between wallet and server.</t>
        </is>
      </c>
      <c r="J489"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89" s="16" t="n"/>
      <c r="L489" s="16" t="inlineStr">
        <is>
          <t>https://attack.mitre.org/techniques/T1556</t>
        </is>
      </c>
    </row>
    <row r="490" ht="169.4" customHeight="1" s="7">
      <c r="A490" s="16" t="inlineStr">
        <is>
          <t>Defense Evasion</t>
        </is>
      </c>
      <c r="B490" s="16" t="inlineStr">
        <is>
          <t>T1556</t>
        </is>
      </c>
      <c r="C490" s="16" t="inlineStr">
        <is>
          <t>Modify Authentication Process</t>
        </is>
      </c>
      <c r="D490" s="16" t="inlineStr">
        <is>
          <t>T1547.005</t>
        </is>
      </c>
      <c r="E490" s="16" t="inlineStr">
        <is>
          <t>Security Support Provider</t>
        </is>
      </c>
      <c r="F490" s="16" t="inlineStr">
        <is>
          <t>Full</t>
        </is>
      </c>
      <c r="G490"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90"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90" s="16" t="inlineStr">
        <is>
          <t>Modification of config.json, Entrypoint shell, IAM policies, etc.</t>
        </is>
      </c>
      <c r="J490"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90" s="16" t="inlineStr">
        <is>
          <t>v17 sub-technique of T1547</t>
        </is>
      </c>
      <c r="L490" s="16" t="inlineStr">
        <is>
          <t>https://attack.mitre.org/techniques/T1556</t>
        </is>
      </c>
    </row>
    <row r="491" ht="169.4" customHeight="1" s="7">
      <c r="A491" s="16" t="inlineStr">
        <is>
          <t>Defense Evasion</t>
        </is>
      </c>
      <c r="B491" s="16" t="inlineStr">
        <is>
          <t>T1556</t>
        </is>
      </c>
      <c r="C491" s="16" t="inlineStr">
        <is>
          <t>Modify Authentication Process</t>
        </is>
      </c>
      <c r="D491" s="16" t="n"/>
      <c r="E491" s="16" t="inlineStr">
        <is>
          <t>Graphical Identification and Authentication Modification</t>
        </is>
      </c>
      <c r="F491" s="16" t="inlineStr">
        <is>
          <t>Full</t>
        </is>
      </c>
      <c r="G491"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91"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91" s="16" t="inlineStr">
        <is>
          <t>Modification of config.json, Entrypoint shell, IAM policies, etc.</t>
        </is>
      </c>
      <c r="J491"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91" s="16" t="inlineStr">
        <is>
          <t>"Graphical Identification and Authentication Modification" is not a v17 sub-technique of T1556; kept as analyzed</t>
        </is>
      </c>
      <c r="L491" s="16" t="inlineStr">
        <is>
          <t>https://attack.mitre.org/techniques/T1556</t>
        </is>
      </c>
    </row>
    <row r="492" ht="169.4" customHeight="1" s="7">
      <c r="A492" s="16" t="inlineStr">
        <is>
          <t>Defense Evasion</t>
        </is>
      </c>
      <c r="B492" s="16" t="inlineStr">
        <is>
          <t>T1556</t>
        </is>
      </c>
      <c r="C492" s="16" t="inlineStr">
        <is>
          <t>Modify Authentication Process</t>
        </is>
      </c>
      <c r="D492" s="16" t="n"/>
      <c r="E492" s="16" t="inlineStr">
        <is>
          <t>Web Credential Manager Modification</t>
        </is>
      </c>
      <c r="F492" s="16" t="inlineStr">
        <is>
          <t>Full</t>
        </is>
      </c>
      <c r="G492"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92"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92" s="16" t="inlineStr">
        <is>
          <t>Requires log-based detection of deviations from the authentication flow (VC issuer mismatches, configuration change history, etc.).</t>
        </is>
      </c>
      <c r="J492"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92" s="16" t="inlineStr">
        <is>
          <t>"Web Credential Manager Modification" is not a v17 sub-technique of T1556; kept as analyzed</t>
        </is>
      </c>
      <c r="L492" s="16" t="inlineStr">
        <is>
          <t>https://attack.mitre.org/techniques/T1556</t>
        </is>
      </c>
    </row>
    <row r="493" ht="169.4" customHeight="1" s="7">
      <c r="A493" s="16" t="inlineStr">
        <is>
          <t>Defense Evasion</t>
        </is>
      </c>
      <c r="B493" s="16" t="inlineStr">
        <is>
          <t>T1556</t>
        </is>
      </c>
      <c r="C493" s="16" t="inlineStr">
        <is>
          <t>Modify Authentication Process</t>
        </is>
      </c>
      <c r="D493" s="16" t="n"/>
      <c r="E493" s="16" t="inlineStr">
        <is>
          <t>Binary Configuration Modification</t>
        </is>
      </c>
      <c r="F493" s="16" t="inlineStr">
        <is>
          <t>Full</t>
        </is>
      </c>
      <c r="G493" s="16" t="inlineStr">
        <is>
          <t>DID authentication systems handle authentication procedures in a decentralized authentication flow through user authenticators, VC verifiers, MFA integration APIs, etc., and if an attacker tampers with the configuration and authentication logic of these elements, the T1556 threat can apply in a structurally identical way. In particular, PAM-like VC verifier configurations, MFA backend integration settings, and browser-extension-based authenticator configurations can all have weaknesses that allow an attacker to bypass authentication logic or insert backdoors.
Structural relevance:
- DID Wallet (user authenticator): Medium (possible manipulation of WebAuthn/LocalStorage-based authentication flows).
- VC verifier (backend authentication API): High (authentication modules/plugins/configuration files can be manipulated).
- CredentialStatus API / VC issuer: High (authentication-flow settings such as MFA settings and JWT token issuance conditions can be manipulated).</t>
        </is>
      </c>
      <c r="H493" s="16" t="inlineStr">
        <is>
          <t>1. Authentication bypass and backdoor installation are possible by manipulating the modules or settings that make up the authentication flow (PAM, ADFS, MFA, etc.).
2. In DID systems as well, maliciously modifying authentication logic (e.g., VC validity verification, MFA policies, trust-score-based priority handling) produces the same effect.
3. When authentication modules are built as microservices, the logic can be controlled indirectly through configuration files or environment variables.</t>
        </is>
      </c>
      <c r="I493" s="16" t="inlineStr">
        <is>
          <t>Requires log-based detection of deviations from the authentication flow (VC issuer mismatches, configuration change history, etc.).</t>
        </is>
      </c>
      <c r="J493" s="16" t="inlineStr">
        <is>
          <t>1. Strengthen separation of the VC verifier's authentication module from external configuration files at the code level, together with integrity verification.
2. Log whether MFA was executed and the trust-score evaluation criteria for the request flow between authenticator and verifier.
3. Track the change history of entrypoints or environment variables and strengthen monitoring of configMap changes.
4. Set behavior-based MFA enforcement conditions across the DID system (mandatory MFA for high-risk VC requests).</t>
        </is>
      </c>
      <c r="K493" s="16" t="inlineStr">
        <is>
          <t>"Binary Configuration Modification" is not a v17 sub-technique of T1556; kept as analyzed</t>
        </is>
      </c>
      <c r="L493" s="16" t="inlineStr">
        <is>
          <t>https://attack.mitre.org/techniques/T1556</t>
        </is>
      </c>
    </row>
    <row r="494" ht="180.55" customHeight="1" s="7">
      <c r="A494" s="16" t="inlineStr">
        <is>
          <t>Defense Evasion</t>
        </is>
      </c>
      <c r="B494" s="16" t="inlineStr">
        <is>
          <t>T1578</t>
        </is>
      </c>
      <c r="C494" s="16" t="inlineStr">
        <is>
          <t>Modify Cloud Compute Infrastructure</t>
        </is>
      </c>
      <c r="D494" s="16" t="inlineStr">
        <is>
          <t>T1578.002</t>
        </is>
      </c>
      <c r="E494" s="16" t="inlineStr">
        <is>
          <t>Create Cloud Instance</t>
        </is>
      </c>
      <c r="F494" s="16" t="inlineStr">
        <is>
          <t>Partial</t>
        </is>
      </c>
      <c r="G494" s="16" t="inlineStr">
        <is>
          <t>When a DID authentication system operates as microservices on cloud computing infrastructure such as Kubernetes, Docker, or AWS Lambda, instance creation/deletion/modification and snapshot management of this infrastructure have a decisive effect on the authentication flow and security. If an attacker manipulates these components, threats such as authentication bypass, log deletion, and tampering with authentication modules can arise, so it fully matches T1578 structurally.
Structural relevance:
- VC verifier (container-based service): High (logic can be bypassed by changing Pods or VMs).
- DID Agent Server: High (the VC processing flow can be disrupted by manipulating computing infrastructure).
- CredentialStatus API / Trust Score server: High (logs can be deleted and status manipulated through instance replacement, snapshot restoration, etc.).
- DID Wallet: Low (does not use cloud infrastructure directly).</t>
        </is>
      </c>
      <c r="H494" s="16" t="inlineStr">
        <is>
          <t>1. Backdoor installation, log deletion, and neutralization of settings are possible by manipulating authentication-related infrastructure.
2. Detection evasion and persistence are achieved by replacing VMs or containers.
3. Evidence can be erased by manipulating snapshots to roll the system back to a point before the attack.</t>
        </is>
      </c>
      <c r="I494" s="16" t="inlineStr">
        <is>
          <t>DID system</t>
        </is>
      </c>
      <c r="J494" s="16" t="inlineStr">
        <is>
          <t>1. Verify deployment changes to VC verifier/Agent servers based on CI/CD tags and Git hashes.
2. Apply Cloud Audit Logging and tag-based policy enforcement to infrastructure creation/deletion events.
3. For K8s-based deployments, apply integrity verification by comparing Pod TemplateSpec hashes.
4. Limit instance creation and image restoration to backup accounts/points in time through IAM policies.</t>
        </is>
      </c>
      <c r="K494" s="16" t="n"/>
      <c r="L494" s="16" t="inlineStr">
        <is>
          <t>https://attack.mitre.org/techniques/T1578</t>
        </is>
      </c>
    </row>
    <row r="495" ht="180.55" customHeight="1" s="7">
      <c r="A495" s="16" t="inlineStr">
        <is>
          <t>Defense Evasion</t>
        </is>
      </c>
      <c r="B495" s="16" t="inlineStr">
        <is>
          <t>T1578</t>
        </is>
      </c>
      <c r="C495" s="16" t="inlineStr">
        <is>
          <t>Modify Cloud Compute Infrastructure</t>
        </is>
      </c>
      <c r="D495" s="16" t="inlineStr">
        <is>
          <t>T1578.003</t>
        </is>
      </c>
      <c r="E495" s="16" t="inlineStr">
        <is>
          <t>Delete Cloud Instance</t>
        </is>
      </c>
      <c r="F495" s="16" t="inlineStr">
        <is>
          <t>Partial</t>
        </is>
      </c>
      <c r="G495" s="16" t="inlineStr">
        <is>
          <t>When a DID authentication system operates as microservices on cloud computing infrastructure such as Kubernetes, Docker, or AWS Lambda, instance creation/deletion/modification and snapshot management of this infrastructure have a decisive effect on the authentication flow and security. If an attacker manipulates these components, threats such as authentication bypass, log deletion, and tampering with authentication modules can arise, so it fully matches T1578 structurally.
Structural relevance:
- VC verifier (container-based service): High (logic can be bypassed by changing Pods or VMs).
- DID Agent Server: High (the VC processing flow can be disrupted by manipulating computing infrastructure).
- CredentialStatus API / Trust Score server: High (logs can be deleted and status manipulated through instance replacement, snapshot restoration, etc.).
- DID Wallet: Low (does not use cloud infrastructure directly).</t>
        </is>
      </c>
      <c r="H495" s="16" t="inlineStr">
        <is>
          <t>1. Backdoor installation, log deletion, and neutralization of settings are possible by manipulating authentication-related infrastructure.
2. Detection evasion and persistence are achieved by replacing VMs or containers.
3. Evidence can be erased by manipulating snapshots to roll the system back to a point before the attack.</t>
        </is>
      </c>
      <c r="I495" s="16" t="inlineStr">
        <is>
          <t>Authenticators, VC verifiers, and Trust Score servers.</t>
        </is>
      </c>
      <c r="J495" s="16" t="inlineStr">
        <is>
          <t>1. Verify deployment changes to VC verifier/Agent servers based on CI/CD tags and Git hashes.
2. Apply Cloud Audit Logging and tag-based policy enforcement to infrastructure creation/deletion events.
3. For K8s-based deployments, apply integrity verification by comparing Pod TemplateSpec hashes.
4. Limit instance creation and image restoration to backup accounts/points in time through IAM policies.</t>
        </is>
      </c>
      <c r="K495" s="16" t="n"/>
      <c r="L495" s="16" t="inlineStr">
        <is>
          <t>https://attack.mitre.org/techniques/T1578</t>
        </is>
      </c>
    </row>
    <row r="496" ht="180.55" customHeight="1" s="7">
      <c r="A496" s="16" t="inlineStr">
        <is>
          <t>Defense Evasion</t>
        </is>
      </c>
      <c r="B496" s="16" t="inlineStr">
        <is>
          <t>T1578</t>
        </is>
      </c>
      <c r="C496" s="16" t="inlineStr">
        <is>
          <t>Modify Cloud Compute Infrastructure</t>
        </is>
      </c>
      <c r="D496" s="16" t="n"/>
      <c r="E496" s="16" t="inlineStr">
        <is>
          <t>Modify Cloud Instance</t>
        </is>
      </c>
      <c r="F496" s="16" t="inlineStr">
        <is>
          <t>Partial</t>
        </is>
      </c>
      <c r="G496" s="16" t="inlineStr">
        <is>
          <t>When a DID authentication system operates as microservices on cloud computing infrastructure such as Kubernetes, Docker, or AWS Lambda, instance creation/deletion/modification and snapshot management of this infrastructure have a decisive effect on the authentication flow and security. If an attacker manipulates these components, threats such as authentication bypass, log deletion, and tampering with authentication modules can arise, so it fully matches T1578 structurally.
Structural relevance:
- VC verifier (container-based service): High (logic can be bypassed by changing Pods or VMs).
- DID Agent Server: High (the VC processing flow can be disrupted by manipulating computing infrastructure).
- CredentialStatus API / Trust Score server: High (logs can be deleted and status manipulated through instance replacement, snapshot restoration, etc.).
- DID Wallet: Low (does not use cloud infrastructure directly).</t>
        </is>
      </c>
      <c r="H496" s="16" t="inlineStr">
        <is>
          <t>1. Backdoor installation, log deletion, and neutralization of settings are possible by manipulating authentication-related infrastructure.
2. Detection evasion and persistence are achieved by replacing VMs or containers.
3. Evidence can be erased by manipulating snapshots to roll the system back to a point before the attack.</t>
        </is>
      </c>
      <c r="I496" s="16" t="inlineStr">
        <is>
          <t>Bypassing the authentication flow and allowing forged VC issuance.</t>
        </is>
      </c>
      <c r="J496" s="16" t="inlineStr">
        <is>
          <t>1. Verify deployment changes to VC verifier/Agent servers based on CI/CD tags and Git hashes.
2. Apply Cloud Audit Logging and tag-based policy enforcement to infrastructure creation/deletion events.
3. For K8s-based deployments, apply integrity verification by comparing Pod TemplateSpec hashes.
4. Limit instance creation and image restoration to backup accounts/points in time through IAM policies.</t>
        </is>
      </c>
      <c r="K496" s="16" t="inlineStr">
        <is>
          <t>"Modify Cloud Instance" is not a v17 sub-technique of T1578; kept as analyzed</t>
        </is>
      </c>
      <c r="L496" s="16" t="inlineStr">
        <is>
          <t>https://attack.mitre.org/techniques/T1578</t>
        </is>
      </c>
    </row>
    <row r="497" ht="180.55" customHeight="1" s="7">
      <c r="A497" s="16" t="inlineStr">
        <is>
          <t>Defense Evasion</t>
        </is>
      </c>
      <c r="B497" s="16" t="inlineStr">
        <is>
          <t>T1578</t>
        </is>
      </c>
      <c r="C497" s="16" t="inlineStr">
        <is>
          <t>Modify Cloud Compute Infrastructure</t>
        </is>
      </c>
      <c r="D497" s="16" t="inlineStr">
        <is>
          <t>T1578.001</t>
        </is>
      </c>
      <c r="E497" s="16" t="inlineStr">
        <is>
          <t>Create Snapshot</t>
        </is>
      </c>
      <c r="F497" s="16" t="inlineStr">
        <is>
          <t>Partial</t>
        </is>
      </c>
      <c r="G497" s="16" t="inlineStr">
        <is>
          <t>When a DID authentication system operates as microservices on cloud computing infrastructure such as Kubernetes, Docker, or AWS Lambda, instance creation/deletion/modification and snapshot management of this infrastructure have a decisive effect on the authentication flow and security. If an attacker manipulates these components, threats such as authentication bypass, log deletion, and tampering with authentication modules can arise, so it fully matches T1578 structurally.
Structural relevance:
- VC verifier (container-based service): High (logic can be bypassed by changing Pods or VMs).
- DID Agent Server: High (the VC processing flow can be disrupted by manipulating computing infrastructure).
- CredentialStatus API / Trust Score server: High (logs can be deleted and status manipulated through instance replacement, snapshot restoration, etc.).
- DID Wallet: Low (does not use cloud infrastructure directly).</t>
        </is>
      </c>
      <c r="H497" s="16" t="inlineStr">
        <is>
          <t>1. Backdoor installation, log deletion, and neutralization of settings are possible by manipulating authentication-related infrastructure.
2. Detection evasion and persistence are achieved by replacing VMs or containers.
3. Evidence can be erased by manipulating snapshots to roll the system back to a point before the attack.</t>
        </is>
      </c>
      <c r="I497" s="16" t="inlineStr">
        <is>
          <t>DevOps or deployment CI/CD privileges.</t>
        </is>
      </c>
      <c r="J497" s="16" t="inlineStr">
        <is>
          <t>1. Verify deployment changes to VC verifier/Agent servers based on CI/CD tags and Git hashes.
2. Apply Cloud Audit Logging and tag-based policy enforcement to infrastructure creation/deletion events.
3. For K8s-based deployments, apply integrity verification by comparing Pod TemplateSpec hashes.
4. Limit instance creation and image restoration to backup accounts/points in time through IAM policies.</t>
        </is>
      </c>
      <c r="K497" s="16" t="n"/>
      <c r="L497" s="16" t="inlineStr">
        <is>
          <t>https://attack.mitre.org/techniques/T1578</t>
        </is>
      </c>
    </row>
    <row r="498" ht="180.55" customHeight="1" s="7">
      <c r="A498" s="16" t="inlineStr">
        <is>
          <t>Defense Evasion</t>
        </is>
      </c>
      <c r="B498" s="16" t="inlineStr">
        <is>
          <t>T1578</t>
        </is>
      </c>
      <c r="C498" s="16" t="inlineStr">
        <is>
          <t>Modify Cloud Compute Infrastructure</t>
        </is>
      </c>
      <c r="D498" s="16" t="n"/>
      <c r="E498" s="16" t="inlineStr">
        <is>
          <t>Delete Snapshot</t>
        </is>
      </c>
      <c r="F498" s="16" t="inlineStr">
        <is>
          <t>Partial</t>
        </is>
      </c>
      <c r="G498" s="16" t="inlineStr">
        <is>
          <t>When a DID authentication system operates as microservices on cloud computing infrastructure such as Kubernetes, Docker, or AWS Lambda, instance creation/deletion/modification and snapshot management of this infrastructure have a decisive effect on the authentication flow and security. If an attacker manipulates these components, threats such as authentication bypass, log deletion, and tampering with authentication modules can arise, so it fully matches T1578 structurally.
Structural relevance:
- VC verifier (container-based service): High (logic can be bypassed by changing Pods or VMs).
- DID Agent Server: High (the VC processing flow can be disrupted by manipulating computing infrastructure).
- CredentialStatus API / Trust Score server: High (logs can be deleted and status manipulated through instance replacement, snapshot restoration, etc.).
- DID Wallet: Low (does not use cloud infrastructure directly).</t>
        </is>
      </c>
      <c r="H498" s="16" t="inlineStr">
        <is>
          <t>1. Backdoor installation, log deletion, and neutralization of settings are possible by manipulating authentication-related infrastructure.
2. Detection evasion and persistence are achieved by replacing VMs or containers.
3. Evidence can be erased by manipulating snapshots to roll the system back to a point before the attack.</t>
        </is>
      </c>
      <c r="I498" s="16" t="inlineStr">
        <is>
          <t>Requires K8s audit logs and deployment history tracking.</t>
        </is>
      </c>
      <c r="J498" s="16" t="inlineStr">
        <is>
          <t>1. Verify deployment changes to VC verifier/Agent servers based on CI/CD tags and Git hashes.
2. Apply Cloud Audit Logging and tag-based policy enforcement to infrastructure creation/deletion events.
3. For K8s-based deployments, apply integrity verification by comparing Pod TemplateSpec hashes.
4. Limit instance creation and image restoration to backup accounts/points in time through IAM policies.</t>
        </is>
      </c>
      <c r="K498" s="16" t="inlineStr">
        <is>
          <t>"Delete Snapshot" is not a v17 sub-technique of T1578; kept as analyzed</t>
        </is>
      </c>
      <c r="L498" s="16" t="inlineStr">
        <is>
          <t>https://attack.mitre.org/techniques/T1578</t>
        </is>
      </c>
    </row>
    <row r="499" ht="191.75" customHeight="1" s="7">
      <c r="A499" s="16" t="inlineStr">
        <is>
          <t>Defense Evasion</t>
        </is>
      </c>
      <c r="B499" s="16" t="inlineStr">
        <is>
          <t>T1666</t>
        </is>
      </c>
      <c r="C499" s="16" t="inlineStr">
        <is>
          <t>Modify Cloud Resource Hierarchy</t>
        </is>
      </c>
      <c r="D499" s="16" t="n"/>
      <c r="E499" s="16" t="n"/>
      <c r="F499" s="16" t="inlineStr">
        <is>
          <t>Partial</t>
        </is>
      </c>
      <c r="G499" s="16" t="inlineStr">
        <is>
          <t>When a DID authentication framework depends on hierarchical resource structures such as AWS Organizations, Azure Subscriptions, or Google Cloud Projects, manipulation of this hierarchy directly affects the security policies, logging, and access control of the entire authentication system. In particular, when the VC issuer, verifier, and Trust Score server are distributed across different accounts or projects, separating or restructuring the hierarchy enables policy bypass and neutralization of integrated monitoring.
Structural relevance:
- VC issuer / verifier (operated per AWS account/project): High (separating accounts/organizations can neutralize policies and bypass logging).
- CredentialStatus API / Trust Score server: High (moving to a sub-account separates access control and logging).
- CI/CD and DevOps accounts: High (a direct threat arises if new accounts can be created and resources moved).
- DID Wallet: Low (generally has no access privileges to the cloud hierarchy).</t>
        </is>
      </c>
      <c r="H499" s="16" t="inlineStr">
        <is>
          <t>1. Higher-level policies on authentication resources can be bypassed by manipulating the hierarchy.
2. Separation of the detection logging system makes attack activity invisible.
3. After creating a new account/project, an independent forged-VC infrastructure can be operated.</t>
        </is>
      </c>
      <c r="I499" s="16" t="inlineStr">
        <is>
          <t>DID system</t>
        </is>
      </c>
      <c r="J499" s="16" t="inlineStr">
        <is>
          <t>1. Fix the operating accounts/projects of the VC issuer and verifier to organizational units and apply SCP- or policy-based access control.
2. When a new account is added to the DID authentication infrastructure, make an approval procedure mandatory for configurations outside the registered organization.
3. Monitor logs of service/subscription moves, separations, and departures (LeaveOrganization) at the parent-account level.
4. Add an integrity mechanism that verifies account/project IDs together with hash signatures during CI/CD deployment.</t>
        </is>
      </c>
      <c r="K499" s="16" t="n"/>
      <c r="L499" s="16" t="inlineStr">
        <is>
          <t>https://attack.mitre.org/techniques/T1666</t>
        </is>
      </c>
    </row>
    <row r="500" ht="79.84999999999999" customHeight="1" s="7">
      <c r="A500" s="16" t="inlineStr">
        <is>
          <t>Defense Evasion</t>
        </is>
      </c>
      <c r="B500" s="16" t="inlineStr">
        <is>
          <t>T1578</t>
        </is>
      </c>
      <c r="C500" s="16" t="inlineStr">
        <is>
          <t>Modify Cloud Compute Infrastructure</t>
        </is>
      </c>
      <c r="D500" s="16" t="n"/>
      <c r="E500" s="16" t="n"/>
      <c r="F500" s="16" t="inlineStr">
        <is>
          <t>No</t>
        </is>
      </c>
      <c r="G500" s="16" t="inlineStr">
        <is>
          <t>DID authentication systems generally have very low structural relevance to environments that use the Windows registry. Most DID components (wallets, VC issuers, verifiers, etc.) operate in web-based or cloud-native environments, and registry-based configuration changes rarely occur. Some wallet apps may run on Windows, but it is practically difficult for an attacker to manipulate the DID authentication flow directly through the registry.</t>
        </is>
      </c>
      <c r="H500" s="16" t="inlineStr">
        <is>
          <t>-</t>
        </is>
      </c>
      <c r="I500" s="16" t="inlineStr">
        <is>
          <t>DID system</t>
        </is>
      </c>
      <c r="J500" s="16" t="inlineStr">
        <is>
          <t>-</t>
        </is>
      </c>
      <c r="K500" s="16" t="n"/>
      <c r="L500" s="16" t="inlineStr">
        <is>
          <t>https://attack.mitre.org/techniques/T1578</t>
        </is>
      </c>
    </row>
    <row r="501" ht="68.65000000000001" customHeight="1" s="7">
      <c r="A501" s="16" t="inlineStr">
        <is>
          <t>Defense Evasion</t>
        </is>
      </c>
      <c r="B501" s="16" t="inlineStr">
        <is>
          <t>T1601</t>
        </is>
      </c>
      <c r="C501" s="16" t="inlineStr">
        <is>
          <t>Modify System Image</t>
        </is>
      </c>
      <c r="D501" s="16" t="inlineStr">
        <is>
          <t>T1601.001</t>
        </is>
      </c>
      <c r="E501" s="16" t="inlineStr">
        <is>
          <t>Patch System Image</t>
        </is>
      </c>
      <c r="F501" s="16" t="inlineStr">
        <is>
          <t>No</t>
        </is>
      </c>
      <c r="G501" s="16" t="inlineStr">
        <is>
          <t>DID authentication systems generally operate on web-based servers, cloud infrastructure, mobile apps, etc., and hardware-level attacks such as manipulating the OS images of network devices are structurally unlikely. Core components such as VC issuers and verifiers also mostly run in containers or virtual instances and are not operated from a single image file.</t>
        </is>
      </c>
      <c r="H501" s="16" t="inlineStr">
        <is>
          <t>-</t>
        </is>
      </c>
      <c r="I501" s="16" t="inlineStr">
        <is>
          <t>DID system</t>
        </is>
      </c>
      <c r="J501" s="16" t="inlineStr">
        <is>
          <t>-</t>
        </is>
      </c>
      <c r="K501" s="16" t="n"/>
      <c r="L501" s="16" t="inlineStr">
        <is>
          <t>https://attack.mitre.org/techniques/T1601</t>
        </is>
      </c>
    </row>
    <row r="502" ht="68.65000000000001" customHeight="1" s="7">
      <c r="A502" s="16" t="inlineStr">
        <is>
          <t>Defense Evasion</t>
        </is>
      </c>
      <c r="B502" s="16" t="inlineStr">
        <is>
          <t>T1601</t>
        </is>
      </c>
      <c r="C502" s="16" t="inlineStr">
        <is>
          <t>Modify System Image</t>
        </is>
      </c>
      <c r="D502" s="16" t="inlineStr">
        <is>
          <t>T1601.002</t>
        </is>
      </c>
      <c r="E502" s="16" t="inlineStr">
        <is>
          <t>Downgrade System Image</t>
        </is>
      </c>
      <c r="F502" s="16" t="inlineStr">
        <is>
          <t>No</t>
        </is>
      </c>
      <c r="G502" s="16" t="inlineStr">
        <is>
          <t>DID authentication systems generally operate on web-based servers, cloud infrastructure, mobile apps, etc., and hardware-level attacks such as manipulating the OS images of network devices are structurally unlikely. Core components such as VC issuers and verifiers also mostly run in containers or virtual instances and are not operated from a single image file.</t>
        </is>
      </c>
      <c r="H502" s="16" t="inlineStr">
        <is>
          <t>-</t>
        </is>
      </c>
      <c r="I502" s="16" t="inlineStr">
        <is>
          <t>Cloud image or code changes (linked to other TTPs).</t>
        </is>
      </c>
      <c r="J502" s="16" t="inlineStr">
        <is>
          <t>-</t>
        </is>
      </c>
      <c r="K502" s="16" t="n"/>
      <c r="L502" s="16" t="inlineStr">
        <is>
          <t>https://attack.mitre.org/techniques/T1601</t>
        </is>
      </c>
    </row>
    <row r="503" ht="169.4" customHeight="1" s="7">
      <c r="A503" s="16" t="inlineStr">
        <is>
          <t>Defense Evasion</t>
        </is>
      </c>
      <c r="B503" s="16" t="inlineStr">
        <is>
          <t>T1599</t>
        </is>
      </c>
      <c r="C503" s="16" t="inlineStr">
        <is>
          <t>Network Boundary Bridging</t>
        </is>
      </c>
      <c r="D503" s="16" t="inlineStr">
        <is>
          <t>T1599.001</t>
        </is>
      </c>
      <c r="E503" s="16" t="inlineStr">
        <is>
          <t>Network Address Translation Traversal</t>
        </is>
      </c>
      <c r="F503" s="16" t="inlineStr">
        <is>
          <t>Partial</t>
        </is>
      </c>
      <c r="G503" s="16" t="inlineStr">
        <is>
          <t>DID authentication systems generally consist of cloud-based REST API servers, DID Wallets (clients), VC verifiers, etc., and traditional network-segmented environments are relatively uncommon. However, in enterprise environments where VC issuers/verifiers reside on the internal network and external service requests are forwarded through NAT or firewalls, attacks similar to T1599 can occur.
Structural relevance:
- DID Wallet (client): Low (generally internet-based connections with no network segmentation).
- DID Agent Server / VC issuer: High (may be located in a DMZ or internal network, with VPN/NAT/firewall boundaries).
- VC verifier / CredentialStatus API: Medium (some verification systems may be provided only as internal network services).
- Off-chain DID Registry access: Medium (relevant when the blockchain gateway is accessed through the internal network).</t>
        </is>
      </c>
      <c r="H503" s="16" t="inlineStr">
        <is>
          <t>1. If an attacker bypasses the network boundary to reach a VC issuer or verifier on the internal network, the attacker can tamper with the authentication logic or return manipulated results externally.
2. Unauthorized external connections can be induced through NAT Traversal, VPN tunneling, etc.
3. Privileges of internal services can be taken over by manipulating traffic routing between microservices.</t>
        </is>
      </c>
      <c r="I503" s="16" t="inlineStr">
        <is>
          <t>DID system</t>
        </is>
      </c>
      <c r="J503" s="16" t="inlineStr">
        <is>
          <t>1. Apply fixed network segments and routing policies to the areas where the VC issuer/verifier and CredentialStatus API are deployed.
2. API calls between internal and external networks must be routed through an API Gateway or reverse proxy, with only permitted paths allowlisted.
3. Periodically audit (log audit) internal services for unexpected NAT forwarding and open ports.
4. A system is needed for tracing logs of unauthorized VPN/NAT tunneling created by attackers (e.g., WireGuard, ZeroTier).</t>
        </is>
      </c>
      <c r="K503" s="16" t="n"/>
      <c r="L503" s="16" t="inlineStr">
        <is>
          <t>https://attack.mitre.org/techniques/T1599</t>
        </is>
      </c>
    </row>
    <row r="504" ht="180.55" customHeight="1" s="7">
      <c r="A504" s="16" t="inlineStr">
        <is>
          <t>Defense Evasion</t>
        </is>
      </c>
      <c r="B504" s="16" t="inlineStr">
        <is>
          <t>T1027</t>
        </is>
      </c>
      <c r="C504" s="16" t="inlineStr">
        <is>
          <t>Obfuscated Files or Information</t>
        </is>
      </c>
      <c r="D504" s="16" t="inlineStr">
        <is>
          <t>T1027.001</t>
        </is>
      </c>
      <c r="E504" s="16" t="inlineStr">
        <is>
          <t>Binary Padding</t>
        </is>
      </c>
      <c r="F504" s="16" t="inlineStr">
        <is>
          <t>Partial</t>
        </is>
      </c>
      <c r="G504"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04"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04" s="16" t="inlineStr">
        <is>
          <t>DID system</t>
        </is>
      </c>
      <c r="J504"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04" s="16" t="n"/>
      <c r="L504" s="16" t="inlineStr">
        <is>
          <t>https://attack.mitre.org/techniques/T1027</t>
        </is>
      </c>
    </row>
    <row r="505" ht="180.55" customHeight="1" s="7">
      <c r="A505" s="16" t="inlineStr">
        <is>
          <t>Defense Evasion</t>
        </is>
      </c>
      <c r="B505" s="16" t="inlineStr">
        <is>
          <t>T1027</t>
        </is>
      </c>
      <c r="C505" s="16" t="inlineStr">
        <is>
          <t>Obfuscated Files or Information</t>
        </is>
      </c>
      <c r="D505" s="16" t="inlineStr">
        <is>
          <t>T1027.002</t>
        </is>
      </c>
      <c r="E505" s="16" t="inlineStr">
        <is>
          <t>Software Packing</t>
        </is>
      </c>
      <c r="F505" s="16" t="inlineStr">
        <is>
          <t>Partial</t>
        </is>
      </c>
      <c r="G505"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05"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05" s="16" t="inlineStr">
        <is>
          <t>Base64-encoded/compressed VC payloads or JSON structures.</t>
        </is>
      </c>
      <c r="J505"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05" s="16" t="n"/>
      <c r="L505" s="16" t="inlineStr">
        <is>
          <t>https://attack.mitre.org/techniques/T1027</t>
        </is>
      </c>
    </row>
    <row r="506" ht="180.55" customHeight="1" s="7">
      <c r="A506" s="16" t="inlineStr">
        <is>
          <t>Defense Evasion</t>
        </is>
      </c>
      <c r="B506" s="16" t="inlineStr">
        <is>
          <t>T1027</t>
        </is>
      </c>
      <c r="C506" s="16" t="inlineStr">
        <is>
          <t>Obfuscated Files or Information</t>
        </is>
      </c>
      <c r="D506" s="16" t="inlineStr">
        <is>
          <t>T1027.003</t>
        </is>
      </c>
      <c r="E506" s="16" t="inlineStr">
        <is>
          <t>Steganography</t>
        </is>
      </c>
      <c r="F506" s="16" t="inlineStr">
        <is>
          <t>Partial</t>
        </is>
      </c>
      <c r="G506"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06"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06" s="16" t="inlineStr">
        <is>
          <t>Base64-encoded/compressed VC payloads or JSON structures.</t>
        </is>
      </c>
      <c r="J506"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06" s="16" t="n"/>
      <c r="L506" s="16" t="inlineStr">
        <is>
          <t>https://attack.mitre.org/techniques/T1027</t>
        </is>
      </c>
    </row>
    <row r="507" ht="180.55" customHeight="1" s="7">
      <c r="A507" s="16" t="inlineStr">
        <is>
          <t>Defense Evasion</t>
        </is>
      </c>
      <c r="B507" s="16" t="inlineStr">
        <is>
          <t>T1027</t>
        </is>
      </c>
      <c r="C507" s="16" t="inlineStr">
        <is>
          <t>Obfuscated Files or Information</t>
        </is>
      </c>
      <c r="D507" s="16" t="inlineStr">
        <is>
          <t>T1027.004</t>
        </is>
      </c>
      <c r="E507" s="16" t="inlineStr">
        <is>
          <t>Compile After Delivery</t>
        </is>
      </c>
      <c r="F507" s="16" t="inlineStr">
        <is>
          <t>Partial</t>
        </is>
      </c>
      <c r="G507"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07"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07" s="16" t="inlineStr">
        <is>
          <t>Base64-encoded/compressed VC payloads or JSON structures.</t>
        </is>
      </c>
      <c r="J507"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07" s="16" t="n"/>
      <c r="L507" s="16" t="inlineStr">
        <is>
          <t>https://attack.mitre.org/techniques/T1027</t>
        </is>
      </c>
    </row>
    <row r="508" ht="180.55" customHeight="1" s="7">
      <c r="A508" s="16" t="inlineStr">
        <is>
          <t>Defense Evasion</t>
        </is>
      </c>
      <c r="B508" s="16" t="inlineStr">
        <is>
          <t>T1027</t>
        </is>
      </c>
      <c r="C508" s="16" t="inlineStr">
        <is>
          <t>Obfuscated Files or Information</t>
        </is>
      </c>
      <c r="D508" s="16" t="inlineStr">
        <is>
          <t>T1027.005</t>
        </is>
      </c>
      <c r="E508" s="16" t="inlineStr">
        <is>
          <t>Indicator Removal from Tools</t>
        </is>
      </c>
      <c r="F508" s="16" t="inlineStr">
        <is>
          <t>Partial</t>
        </is>
      </c>
      <c r="G508"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08"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08" s="16" t="inlineStr">
        <is>
          <t>Base64-encoded/compressed VC payloads or JSON structures.</t>
        </is>
      </c>
      <c r="J508"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08" s="16" t="n"/>
      <c r="L508" s="16" t="inlineStr">
        <is>
          <t>https://attack.mitre.org/techniques/T1027</t>
        </is>
      </c>
    </row>
    <row r="509" ht="180.55" customHeight="1" s="7">
      <c r="A509" s="16" t="inlineStr">
        <is>
          <t>Defense Evasion</t>
        </is>
      </c>
      <c r="B509" s="16" t="inlineStr">
        <is>
          <t>T1027</t>
        </is>
      </c>
      <c r="C509" s="16" t="inlineStr">
        <is>
          <t>Obfuscated Files or Information</t>
        </is>
      </c>
      <c r="D509" s="16" t="inlineStr">
        <is>
          <t>T1027.006</t>
        </is>
      </c>
      <c r="E509" s="16" t="inlineStr">
        <is>
          <t>HTML Smuggling</t>
        </is>
      </c>
      <c r="F509" s="16" t="inlineStr">
        <is>
          <t>Partial</t>
        </is>
      </c>
      <c r="G509"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09"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09" s="16" t="inlineStr">
        <is>
          <t>Concealment of forged VC information, policy bypass, and structural modification.</t>
        </is>
      </c>
      <c r="J509"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09" s="16" t="n"/>
      <c r="L509" s="16" t="inlineStr">
        <is>
          <t>https://attack.mitre.org/techniques/T1027</t>
        </is>
      </c>
    </row>
    <row r="510" ht="180.55" customHeight="1" s="7">
      <c r="A510" s="16" t="inlineStr">
        <is>
          <t>Defense Evasion</t>
        </is>
      </c>
      <c r="B510" s="16" t="inlineStr">
        <is>
          <t>T1027</t>
        </is>
      </c>
      <c r="C510" s="16" t="inlineStr">
        <is>
          <t>Obfuscated Files or Information</t>
        </is>
      </c>
      <c r="D510" s="16" t="inlineStr">
        <is>
          <t>T1027.007</t>
        </is>
      </c>
      <c r="E510" s="16" t="inlineStr">
        <is>
          <t>Dynamic API Resolution</t>
        </is>
      </c>
      <c r="F510" s="16" t="inlineStr">
        <is>
          <t>Partial</t>
        </is>
      </c>
      <c r="G510"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0"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0" s="16" t="inlineStr">
        <is>
          <t>Concealment of forged VC information, policy bypass, and structural modification.</t>
        </is>
      </c>
      <c r="J510"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0" s="16" t="n"/>
      <c r="L510" s="16" t="inlineStr">
        <is>
          <t>https://attack.mitre.org/techniques/T1027</t>
        </is>
      </c>
    </row>
    <row r="511" ht="180.55" customHeight="1" s="7">
      <c r="A511" s="16" t="inlineStr">
        <is>
          <t>Defense Evasion</t>
        </is>
      </c>
      <c r="B511" s="16" t="inlineStr">
        <is>
          <t>T1027</t>
        </is>
      </c>
      <c r="C511" s="16" t="inlineStr">
        <is>
          <t>Obfuscated Files or Information</t>
        </is>
      </c>
      <c r="D511" s="16" t="inlineStr">
        <is>
          <t>T1027.008</t>
        </is>
      </c>
      <c r="E511" s="16" t="inlineStr">
        <is>
          <t>Stripped Payloads</t>
        </is>
      </c>
      <c r="F511" s="16" t="inlineStr">
        <is>
          <t>Partial</t>
        </is>
      </c>
      <c r="G511"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1"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1" s="16" t="inlineStr">
        <is>
          <t>Concealment of forged VC information, policy bypass, and structural modification.</t>
        </is>
      </c>
      <c r="J511"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1" s="16" t="n"/>
      <c r="L511" s="16" t="inlineStr">
        <is>
          <t>https://attack.mitre.org/techniques/T1027</t>
        </is>
      </c>
    </row>
    <row r="512" ht="180.55" customHeight="1" s="7">
      <c r="A512" s="16" t="inlineStr">
        <is>
          <t>Defense Evasion</t>
        </is>
      </c>
      <c r="B512" s="16" t="inlineStr">
        <is>
          <t>T1027</t>
        </is>
      </c>
      <c r="C512" s="16" t="inlineStr">
        <is>
          <t>Obfuscated Files or Information</t>
        </is>
      </c>
      <c r="D512" s="16" t="inlineStr">
        <is>
          <t>T1027.009</t>
        </is>
      </c>
      <c r="E512" s="16" t="inlineStr">
        <is>
          <t>Embedded Payloads</t>
        </is>
      </c>
      <c r="F512" s="16" t="inlineStr">
        <is>
          <t>Partial</t>
        </is>
      </c>
      <c r="G512"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2"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2" s="16" t="inlineStr">
        <is>
          <t>Concealment of forged VC information, policy bypass, and structural modification.</t>
        </is>
      </c>
      <c r="J512"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2" s="16" t="n"/>
      <c r="L512" s="16" t="inlineStr">
        <is>
          <t>https://attack.mitre.org/techniques/T1027</t>
        </is>
      </c>
    </row>
    <row r="513" ht="180.55" customHeight="1" s="7">
      <c r="A513" s="16" t="inlineStr">
        <is>
          <t>Defense Evasion</t>
        </is>
      </c>
      <c r="B513" s="16" t="inlineStr">
        <is>
          <t>T1027</t>
        </is>
      </c>
      <c r="C513" s="16" t="inlineStr">
        <is>
          <t>Obfuscated Files or Information</t>
        </is>
      </c>
      <c r="D513" s="16" t="inlineStr">
        <is>
          <t>T1027.010</t>
        </is>
      </c>
      <c r="E513" s="16" t="inlineStr">
        <is>
          <t>Command Obfuscation</t>
        </is>
      </c>
      <c r="F513" s="16" t="inlineStr">
        <is>
          <t>Partial</t>
        </is>
      </c>
      <c r="G513"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3"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3" s="16" t="inlineStr">
        <is>
          <t>Obfuscation of Claims inside JWTs and manipulation of VC encoding.</t>
        </is>
      </c>
      <c r="J513"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3" s="16" t="n"/>
      <c r="L513" s="16" t="inlineStr">
        <is>
          <t>https://attack.mitre.org/techniques/T1027</t>
        </is>
      </c>
    </row>
    <row r="514" ht="180.55" customHeight="1" s="7">
      <c r="A514" s="16" t="inlineStr">
        <is>
          <t>Defense Evasion</t>
        </is>
      </c>
      <c r="B514" s="16" t="inlineStr">
        <is>
          <t>T1027</t>
        </is>
      </c>
      <c r="C514" s="16" t="inlineStr">
        <is>
          <t>Obfuscated Files or Information</t>
        </is>
      </c>
      <c r="D514" s="16" t="inlineStr">
        <is>
          <t>T1027.011</t>
        </is>
      </c>
      <c r="E514" s="16" t="inlineStr">
        <is>
          <t>Fileless Storage</t>
        </is>
      </c>
      <c r="F514" s="16" t="inlineStr">
        <is>
          <t>Partial</t>
        </is>
      </c>
      <c r="G514"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4"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4" s="16" t="inlineStr">
        <is>
          <t>Obfuscation of Claims inside JWTs and manipulation of VC encoding.</t>
        </is>
      </c>
      <c r="J514"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4" s="16" t="n"/>
      <c r="L514" s="16" t="inlineStr">
        <is>
          <t>https://attack.mitre.org/techniques/T1027</t>
        </is>
      </c>
    </row>
    <row r="515" ht="180.55" customHeight="1" s="7">
      <c r="A515" s="16" t="inlineStr">
        <is>
          <t>Defense Evasion</t>
        </is>
      </c>
      <c r="B515" s="16" t="inlineStr">
        <is>
          <t>T1027</t>
        </is>
      </c>
      <c r="C515" s="16" t="inlineStr">
        <is>
          <t>Obfuscated Files or Information</t>
        </is>
      </c>
      <c r="D515" s="16" t="inlineStr">
        <is>
          <t>T1027.012</t>
        </is>
      </c>
      <c r="E515" s="16" t="inlineStr">
        <is>
          <t>LNK Icon Smuggling</t>
        </is>
      </c>
      <c r="F515" s="16" t="inlineStr">
        <is>
          <t>Partial</t>
        </is>
      </c>
      <c r="G515"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5"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5" s="16" t="inlineStr">
        <is>
          <t>Obfuscation of Claims inside JWTs and manipulation of VC encoding.</t>
        </is>
      </c>
      <c r="J515"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5" s="16" t="n"/>
      <c r="L515" s="16" t="inlineStr">
        <is>
          <t>https://attack.mitre.org/techniques/T1027</t>
        </is>
      </c>
    </row>
    <row r="516" ht="180.55" customHeight="1" s="7">
      <c r="A516" s="16" t="inlineStr">
        <is>
          <t>Defense Evasion</t>
        </is>
      </c>
      <c r="B516" s="16" t="inlineStr">
        <is>
          <t>T1027</t>
        </is>
      </c>
      <c r="C516" s="16" t="inlineStr">
        <is>
          <t>Obfuscated Files or Information</t>
        </is>
      </c>
      <c r="D516" s="16" t="inlineStr">
        <is>
          <t>T1027.013</t>
        </is>
      </c>
      <c r="E516" s="16" t="inlineStr">
        <is>
          <t>Encrypted/Encoded File</t>
        </is>
      </c>
      <c r="F516" s="16" t="inlineStr">
        <is>
          <t>Partial</t>
        </is>
      </c>
      <c r="G516"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6"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6" s="16" t="inlineStr">
        <is>
          <t>Obfuscation of Claims inside JWTs and manipulation of VC encoding.</t>
        </is>
      </c>
      <c r="J516"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6" s="16" t="n"/>
      <c r="L516" s="16" t="inlineStr">
        <is>
          <t>https://attack.mitre.org/techniques/T1027</t>
        </is>
      </c>
    </row>
    <row r="517" ht="180.55" customHeight="1" s="7">
      <c r="A517" s="16" t="inlineStr">
        <is>
          <t>Defense Evasion</t>
        </is>
      </c>
      <c r="B517" s="16" t="inlineStr">
        <is>
          <t>T1027</t>
        </is>
      </c>
      <c r="C517" s="16" t="inlineStr">
        <is>
          <t>Obfuscated Files or Information</t>
        </is>
      </c>
      <c r="D517" s="16" t="inlineStr">
        <is>
          <t>T1027.014</t>
        </is>
      </c>
      <c r="E517" s="16" t="inlineStr">
        <is>
          <t>Polymorphic Code</t>
        </is>
      </c>
      <c r="F517" s="16" t="inlineStr">
        <is>
          <t>Partial</t>
        </is>
      </c>
      <c r="G517"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7"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7" s="16" t="inlineStr">
        <is>
          <t>Requires detection through VC structure parsing and semantics-based anomaly detection.</t>
        </is>
      </c>
      <c r="J517"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7" s="16" t="n"/>
      <c r="L517" s="16" t="inlineStr">
        <is>
          <t>https://attack.mitre.org/techniques/T1027</t>
        </is>
      </c>
    </row>
    <row r="518" ht="180.55" customHeight="1" s="7">
      <c r="A518" s="16" t="inlineStr">
        <is>
          <t>Defense Evasion</t>
        </is>
      </c>
      <c r="B518" s="16" t="inlineStr">
        <is>
          <t>T1027</t>
        </is>
      </c>
      <c r="C518" s="16" t="inlineStr">
        <is>
          <t>Obfuscated Files or Information</t>
        </is>
      </c>
      <c r="D518" s="16" t="inlineStr">
        <is>
          <t>T1027.015</t>
        </is>
      </c>
      <c r="E518" s="16" t="inlineStr">
        <is>
          <t>Compression</t>
        </is>
      </c>
      <c r="F518" s="16" t="inlineStr">
        <is>
          <t>Partial</t>
        </is>
      </c>
      <c r="G518"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8"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8" s="16" t="inlineStr">
        <is>
          <t>Requires detection through VC structure parsing and semantics-based anomaly detection.</t>
        </is>
      </c>
      <c r="J518"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8" s="16" t="n"/>
      <c r="L518" s="16" t="inlineStr">
        <is>
          <t>https://attack.mitre.org/techniques/T1027</t>
        </is>
      </c>
    </row>
    <row r="519" ht="180.55" customHeight="1" s="7">
      <c r="A519" s="16" t="inlineStr">
        <is>
          <t>Defense Evasion</t>
        </is>
      </c>
      <c r="B519" s="16" t="inlineStr">
        <is>
          <t>T1027</t>
        </is>
      </c>
      <c r="C519" s="16" t="inlineStr">
        <is>
          <t>Obfuscated Files or Information</t>
        </is>
      </c>
      <c r="D519" s="16" t="inlineStr">
        <is>
          <t>T1027.016</t>
        </is>
      </c>
      <c r="E519" s="16" t="inlineStr">
        <is>
          <t>Junk Code Insertion</t>
        </is>
      </c>
      <c r="F519" s="16" t="inlineStr">
        <is>
          <t>Partial</t>
        </is>
      </c>
      <c r="G519"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19"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19" s="16" t="inlineStr">
        <is>
          <t>Requires detection through VC structure parsing and semantics-based anomaly detection.</t>
        </is>
      </c>
      <c r="J519"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19" s="16" t="n"/>
      <c r="L519" s="16" t="inlineStr">
        <is>
          <t>https://attack.mitre.org/techniques/T1027</t>
        </is>
      </c>
    </row>
    <row r="520" ht="180.55" customHeight="1" s="7">
      <c r="A520" s="16" t="inlineStr">
        <is>
          <t>Defense Evasion</t>
        </is>
      </c>
      <c r="B520" s="16" t="inlineStr">
        <is>
          <t>T1027</t>
        </is>
      </c>
      <c r="C520" s="16" t="inlineStr">
        <is>
          <t>Obfuscated Files or Information</t>
        </is>
      </c>
      <c r="D520" s="16" t="inlineStr">
        <is>
          <t>T1027.017</t>
        </is>
      </c>
      <c r="E520" s="16" t="inlineStr">
        <is>
          <t>SVG Smuggling</t>
        </is>
      </c>
      <c r="F520" s="16" t="inlineStr">
        <is>
          <t>Partial</t>
        </is>
      </c>
      <c r="G520" s="16" t="inlineStr">
        <is>
          <t>This technique mainly covers file-level obfuscation for evading traditional malware detection, but similar threat scenarios can also occur within DID authentication systems, so there is partial alignment.
Structural relevance:
- DID Wallet (client): Low (the client merely submits obfuscated VC or Presentation objects, while structural analysis and execution are performed on the server side).
- DID Agent Server / VC issuer: High (if the VC issuance logic processes maliciously obfuscated input, such as base64, XOR, or padding fields inside JSON, validity verification can be bypassed).
- VC verifier / CredentialStatus API: Medium (the verifier judges whether the VC structure is valid, but obfuscated signature or payload fields may pass verification).
- Off-chain DID Registry access: Medium (if the registry information of external VC issuers or verification targets is obfuscated with base58, etc., part of the linkage structure may not be identifiable).</t>
        </is>
      </c>
      <c r="H520" s="16" t="inlineStr">
        <is>
          <t>1. Most VC or JWT payloads are encoded in Base64 or compressed formats, so an attacker can intentionally insert obfuscated information.
2. Most DID components process data through automatic parsing and decoding, so users are not aware of what data was actually transmitted.
3. In serverless functions or WASM-based execution environments, encrypted modules can be loaded and executed, enabling detection evasion.</t>
        </is>
      </c>
      <c r="I520" s="16" t="inlineStr">
        <is>
          <t>Requires detection through VC structure parsing and semantics-based anomaly detection.</t>
        </is>
      </c>
      <c r="J520" s="16" t="inlineStr">
        <is>
          <t>1. Add logging at the point of Base64 decoding, and determine whether Claim fields in the structure are abnormal after VC and JWT decoding.
2. Perform payload integrity checks and hash verification in VC issuance and verification functions.
3. Apply schema-based detection rules to specific fields in the JWT (e.g., credentialSubject).
4. Check externally delivered VC files (.jwt, .vc.json, etc.) for compression/encryption and raise warnings.
5. Link behavior-based detection policies to VC parsing errors/warnings in event logs.</t>
        </is>
      </c>
      <c r="K520" s="16" t="n"/>
      <c r="L520" s="16" t="inlineStr">
        <is>
          <t>https://attack.mitre.org/techniques/T1027</t>
        </is>
      </c>
    </row>
    <row r="521" ht="169.4" customHeight="1" s="7">
      <c r="A521" s="16" t="inlineStr">
        <is>
          <t>Defense Evasion</t>
        </is>
      </c>
      <c r="B521" s="16" t="inlineStr">
        <is>
          <t>T1647</t>
        </is>
      </c>
      <c r="C521" s="16" t="inlineStr">
        <is>
          <t>Plist File Modification</t>
        </is>
      </c>
      <c r="D521" s="16" t="n"/>
      <c r="E521" s="16" t="n"/>
      <c r="F521" s="16" t="inlineStr">
        <is>
          <t>Partial</t>
        </is>
      </c>
      <c r="G521" s="16" t="inlineStr">
        <is>
          <t>When a DID Wallet is distributed as a macOS client, malicious settings can be inserted through plist files in the user's local environment. For example, an app containing VC transmission logic may be launched automatically through a LaunchAgent, or the background execution setting (LSUIElement) may be manipulated so that an authentication flow is triggered without the user's awareness. However, server-side VC issuers, verifiers, etc. generally do not use plist structures, so applicability is limited overall.
Structural relevance:
- DID Wallet (macOS app): High (info.plist and LaunchAgents exist and can be attacked).
- DID Wallet (iOS app): Low (the app sandbox structure makes system file manipulation difficult).
- DID Agent Server / VC issuer: None (the server side is not plist-based).
- VC verifier / CredentialStatus API: None (generally unrelated to macOS).</t>
        </is>
      </c>
      <c r="H521" s="16" t="inlineStr">
        <is>
          <t>1. DID Wallet clients also control execution settings, auto-launch, background operation, etc. through plist files.
2. Through plist manipulation, authentication-related functions can be concealed, or the wallet can be configured to send VCs without the user's consent.</t>
        </is>
      </c>
      <c r="I521" s="16" t="inlineStr">
        <is>
          <t>DID system</t>
        </is>
      </c>
      <c r="J521" s="16" t="inlineStr">
        <is>
          <t>1. When developing a macOS-based DID Wallet, integrity verification of info.plist and LaunchAgent registration entries is required.
2. Insert logic that detects modification by checking the hash or signature of configuration files when the application starts.
3. Make active use of macOS security features such as App Sandbox, Hardened Runtime, and Notarization when distributing the Wallet app.
4. Monitor the ~/Library/LaunchAgents path and insert a user confirmation step for automatically executed VC transmission functions.</t>
        </is>
      </c>
      <c r="K521" s="16" t="n"/>
      <c r="L521" s="16" t="inlineStr">
        <is>
          <t>https://attack.mitre.org/techniques/T1647</t>
        </is>
      </c>
    </row>
    <row r="522" ht="46.25" customHeight="1" s="7">
      <c r="A522" s="16" t="inlineStr">
        <is>
          <t>Defense Evasion</t>
        </is>
      </c>
      <c r="B522" s="16" t="inlineStr">
        <is>
          <t>T1542</t>
        </is>
      </c>
      <c r="C522" s="16" t="inlineStr">
        <is>
          <t>Pre-OS Boot</t>
        </is>
      </c>
      <c r="D522" s="16" t="inlineStr">
        <is>
          <t>T1542.001</t>
        </is>
      </c>
      <c r="E522" s="16" t="inlineStr">
        <is>
          <t>System Firmware</t>
        </is>
      </c>
      <c r="F522" s="16" t="inlineStr">
        <is>
          <t>No</t>
        </is>
      </c>
      <c r="G522" s="16" t="inlineStr">
        <is>
          <t>DID authentication systems mostly operate on web servers, mobile apps, container-based backends, etc., and environments that use low-level firmware, BIOS, or boot loaders related to Pre-OS Boot are almost nonexistent. Therefore, they do not structurally match this technique.</t>
        </is>
      </c>
      <c r="H522" s="16" t="inlineStr">
        <is>
          <t>-</t>
        </is>
      </c>
      <c r="I522" s="16" t="inlineStr">
        <is>
          <t>DID system</t>
        </is>
      </c>
      <c r="J522" s="16" t="inlineStr">
        <is>
          <t>-</t>
        </is>
      </c>
      <c r="K522" s="16" t="n"/>
      <c r="L522" s="16" t="inlineStr">
        <is>
          <t>https://attack.mitre.org/techniques/T1542</t>
        </is>
      </c>
    </row>
    <row r="523" ht="46.25" customHeight="1" s="7">
      <c r="A523" s="16" t="inlineStr">
        <is>
          <t>Defense Evasion</t>
        </is>
      </c>
      <c r="B523" s="16" t="inlineStr">
        <is>
          <t>T1542</t>
        </is>
      </c>
      <c r="C523" s="16" t="inlineStr">
        <is>
          <t>Pre-OS Boot</t>
        </is>
      </c>
      <c r="D523" s="16" t="inlineStr">
        <is>
          <t>T1542.002</t>
        </is>
      </c>
      <c r="E523" s="16" t="inlineStr">
        <is>
          <t>Component Firmware</t>
        </is>
      </c>
      <c r="F523" s="16" t="inlineStr">
        <is>
          <t>No</t>
        </is>
      </c>
      <c r="G523" s="16" t="inlineStr">
        <is>
          <t>DID authentication systems mostly operate on web servers, mobile apps, container-based backends, etc., and environments that use low-level firmware, BIOS, or boot loaders related to Pre-OS Boot are almost nonexistent. Therefore, they do not structurally match this technique.</t>
        </is>
      </c>
      <c r="H523" s="16" t="inlineStr">
        <is>
          <t>-</t>
        </is>
      </c>
      <c r="I523" s="16" t="inlineStr">
        <is>
          <t>Components at the level of web apps and cloud instances running on top of the operating system.</t>
        </is>
      </c>
      <c r="J523" s="16" t="inlineStr">
        <is>
          <t>-</t>
        </is>
      </c>
      <c r="K523" s="16" t="n"/>
      <c r="L523" s="16" t="inlineStr">
        <is>
          <t>https://attack.mitre.org/techniques/T1542</t>
        </is>
      </c>
    </row>
    <row r="524" ht="46.25" customHeight="1" s="7">
      <c r="A524" s="16" t="inlineStr">
        <is>
          <t>Defense Evasion</t>
        </is>
      </c>
      <c r="B524" s="16" t="inlineStr">
        <is>
          <t>T1542</t>
        </is>
      </c>
      <c r="C524" s="16" t="inlineStr">
        <is>
          <t>Pre-OS Boot</t>
        </is>
      </c>
      <c r="D524" s="16" t="inlineStr">
        <is>
          <t>T1542.003</t>
        </is>
      </c>
      <c r="E524" s="16" t="inlineStr">
        <is>
          <t>Bootkit</t>
        </is>
      </c>
      <c r="F524" s="16" t="inlineStr">
        <is>
          <t>No</t>
        </is>
      </c>
      <c r="G524" s="16" t="inlineStr">
        <is>
          <t>DID authentication systems mostly operate on web servers, mobile apps, container-based backends, etc., and environments that use low-level firmware, BIOS, or boot loaders related to Pre-OS Boot are almost nonexistent. Therefore, they do not structurally match this technique.</t>
        </is>
      </c>
      <c r="H524" s="16" t="inlineStr">
        <is>
          <t>-</t>
        </is>
      </c>
      <c r="I524" s="16" t="inlineStr">
        <is>
          <t>After the DID Wallet or API server starts executing.</t>
        </is>
      </c>
      <c r="J524" s="16" t="inlineStr">
        <is>
          <t>-</t>
        </is>
      </c>
      <c r="K524" s="16" t="n"/>
      <c r="L524" s="16" t="inlineStr">
        <is>
          <t>https://attack.mitre.org/techniques/T1542</t>
        </is>
      </c>
    </row>
    <row r="525" ht="46.25" customHeight="1" s="7">
      <c r="A525" s="16" t="inlineStr">
        <is>
          <t>Defense Evasion</t>
        </is>
      </c>
      <c r="B525" s="16" t="inlineStr">
        <is>
          <t>T1542</t>
        </is>
      </c>
      <c r="C525" s="16" t="inlineStr">
        <is>
          <t>Pre-OS Boot</t>
        </is>
      </c>
      <c r="D525" s="16" t="inlineStr">
        <is>
          <t>T1542.004</t>
        </is>
      </c>
      <c r="E525" s="16" t="inlineStr">
        <is>
          <t>ROMMONkit</t>
        </is>
      </c>
      <c r="F525" s="16" t="inlineStr">
        <is>
          <t>No</t>
        </is>
      </c>
      <c r="G525" s="16" t="inlineStr">
        <is>
          <t>DID authentication systems mostly operate on web servers, mobile apps, container-based backends, etc., and environments that use low-level firmware, BIOS, or boot loaders related to Pre-OS Boot are almost nonexistent. Therefore, they do not structurally match this technique.</t>
        </is>
      </c>
      <c r="H525" s="16" t="inlineStr">
        <is>
          <t>-</t>
        </is>
      </c>
      <c r="I525" s="16" t="inlineStr">
        <is>
          <t>Mainly evasion of application-level logging (bypassing cloud monitoring).</t>
        </is>
      </c>
      <c r="J525" s="16" t="inlineStr">
        <is>
          <t>-</t>
        </is>
      </c>
      <c r="K525" s="16" t="n"/>
      <c r="L525" s="16" t="inlineStr">
        <is>
          <t>https://attack.mitre.org/techniques/T1542</t>
        </is>
      </c>
    </row>
    <row r="526" ht="46.25" customHeight="1" s="7">
      <c r="A526" s="16" t="inlineStr">
        <is>
          <t>Defense Evasion</t>
        </is>
      </c>
      <c r="B526" s="16" t="inlineStr">
        <is>
          <t>T1542</t>
        </is>
      </c>
      <c r="C526" s="16" t="inlineStr">
        <is>
          <t>Pre-OS Boot</t>
        </is>
      </c>
      <c r="D526" s="16" t="inlineStr">
        <is>
          <t>T1542.005</t>
        </is>
      </c>
      <c r="E526" s="16" t="inlineStr">
        <is>
          <t>TFTP Boot</t>
        </is>
      </c>
      <c r="F526" s="16" t="inlineStr">
        <is>
          <t>No</t>
        </is>
      </c>
      <c r="G526" s="16" t="inlineStr">
        <is>
          <t>DID authentication systems mostly operate on web servers, mobile apps, container-based backends, etc., and environments that use low-level firmware, BIOS, or boot loaders related to Pre-OS Boot are almost nonexistent. Therefore, they do not structurally match this technique.</t>
        </is>
      </c>
      <c r="H526" s="16" t="inlineStr">
        <is>
          <t>-</t>
        </is>
      </c>
      <c r="I526" s="16" t="inlineStr">
        <is>
          <t>DID systems are mostly multi-tenant or cloud-based, so infection remains partial.</t>
        </is>
      </c>
      <c r="J526" s="16" t="inlineStr">
        <is>
          <t>-</t>
        </is>
      </c>
      <c r="K526" s="16" t="n"/>
      <c r="L526" s="16" t="inlineStr">
        <is>
          <t>https://attack.mitre.org/techniques/T1542</t>
        </is>
      </c>
    </row>
    <row r="527" ht="214.15" customHeight="1" s="7">
      <c r="A527" s="16" t="inlineStr">
        <is>
          <t>Defense Evasion</t>
        </is>
      </c>
      <c r="B527" s="16" t="inlineStr">
        <is>
          <t>T1055</t>
        </is>
      </c>
      <c r="C527" s="16" t="inlineStr">
        <is>
          <t>Process Injection</t>
        </is>
      </c>
      <c r="D527" s="16" t="inlineStr">
        <is>
          <t>T1055.001</t>
        </is>
      </c>
      <c r="E527" s="16" t="inlineStr">
        <is>
          <t>Dynamic-link Library Injection</t>
        </is>
      </c>
      <c r="F527" s="16" t="inlineStr">
        <is>
          <t>Partial</t>
        </is>
      </c>
      <c r="G527"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27"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27" s="16" t="inlineStr">
        <is>
          <t>DID system</t>
        </is>
      </c>
      <c r="J527"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27" s="16" t="n"/>
      <c r="L527" s="16" t="inlineStr">
        <is>
          <t>https://attack.mitre.org/techniques/T1055</t>
        </is>
      </c>
    </row>
    <row r="528" ht="214.15" customHeight="1" s="7">
      <c r="A528" s="16" t="inlineStr">
        <is>
          <t>Defense Evasion</t>
        </is>
      </c>
      <c r="B528" s="16" t="inlineStr">
        <is>
          <t>T1055</t>
        </is>
      </c>
      <c r="C528" s="16" t="inlineStr">
        <is>
          <t>Process Injection</t>
        </is>
      </c>
      <c r="D528" s="16" t="inlineStr">
        <is>
          <t>T1055.002</t>
        </is>
      </c>
      <c r="E528" s="16" t="inlineStr">
        <is>
          <t>Portable Executable Injection</t>
        </is>
      </c>
      <c r="F528" s="16" t="inlineStr">
        <is>
          <t>Partial</t>
        </is>
      </c>
      <c r="G528"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28"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28" s="16" t="inlineStr">
        <is>
          <t>Application execution engines such as Node.js and Python, or Lambda function execution contexts.</t>
        </is>
      </c>
      <c r="J528"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28" s="16" t="n"/>
      <c r="L528" s="16" t="inlineStr">
        <is>
          <t>https://attack.mitre.org/techniques/T1055</t>
        </is>
      </c>
    </row>
    <row r="529" ht="214.15" customHeight="1" s="7">
      <c r="A529" s="16" t="inlineStr">
        <is>
          <t>Defense Evasion</t>
        </is>
      </c>
      <c r="B529" s="16" t="inlineStr">
        <is>
          <t>T1055</t>
        </is>
      </c>
      <c r="C529" s="16" t="inlineStr">
        <is>
          <t>Process Injection</t>
        </is>
      </c>
      <c r="D529" s="16" t="inlineStr">
        <is>
          <t>T1055.003</t>
        </is>
      </c>
      <c r="E529" s="16" t="inlineStr">
        <is>
          <t>Thread Execution Hijacking</t>
        </is>
      </c>
      <c r="F529" s="16" t="inlineStr">
        <is>
          <t>Partial</t>
        </is>
      </c>
      <c r="G529"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29"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29" s="16" t="inlineStr">
        <is>
          <t>Application execution engines such as Node.js and Python, or Lambda function execution contexts.</t>
        </is>
      </c>
      <c r="J529"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29" s="16" t="n"/>
      <c r="L529" s="16" t="inlineStr">
        <is>
          <t>https://attack.mitre.org/techniques/T1055</t>
        </is>
      </c>
    </row>
    <row r="530" ht="214.15" customHeight="1" s="7">
      <c r="A530" s="16" t="inlineStr">
        <is>
          <t>Defense Evasion</t>
        </is>
      </c>
      <c r="B530" s="16" t="inlineStr">
        <is>
          <t>T1055</t>
        </is>
      </c>
      <c r="C530" s="16" t="inlineStr">
        <is>
          <t>Process Injection</t>
        </is>
      </c>
      <c r="D530" s="16" t="inlineStr">
        <is>
          <t>T1055.004</t>
        </is>
      </c>
      <c r="E530" s="16" t="inlineStr">
        <is>
          <t>Asynchronous Procedure Call</t>
        </is>
      </c>
      <c r="F530" s="16" t="inlineStr">
        <is>
          <t>Partial</t>
        </is>
      </c>
      <c r="G530"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0"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0" s="16" t="inlineStr">
        <is>
          <t>Dynamic module loading, eval execution, unsafe imports, etc.</t>
        </is>
      </c>
      <c r="J530"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0" s="16" t="n"/>
      <c r="L530" s="16" t="inlineStr">
        <is>
          <t>https://attack.mitre.org/techniques/T1055</t>
        </is>
      </c>
    </row>
    <row r="531" ht="214.15" customHeight="1" s="7">
      <c r="A531" s="16" t="inlineStr">
        <is>
          <t>Defense Evasion</t>
        </is>
      </c>
      <c r="B531" s="16" t="inlineStr">
        <is>
          <t>T1055</t>
        </is>
      </c>
      <c r="C531" s="16" t="inlineStr">
        <is>
          <t>Process Injection</t>
        </is>
      </c>
      <c r="D531" s="16" t="inlineStr">
        <is>
          <t>T1055.005</t>
        </is>
      </c>
      <c r="E531" s="16" t="inlineStr">
        <is>
          <t>Thread Local Storage</t>
        </is>
      </c>
      <c r="F531" s="16" t="inlineStr">
        <is>
          <t>Partial</t>
        </is>
      </c>
      <c r="G531"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1"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1" s="16" t="inlineStr">
        <is>
          <t>Dynamic module loading, eval execution, unsafe imports, etc.</t>
        </is>
      </c>
      <c r="J531"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1" s="16" t="n"/>
      <c r="L531" s="16" t="inlineStr">
        <is>
          <t>https://attack.mitre.org/techniques/T1055</t>
        </is>
      </c>
    </row>
    <row r="532" ht="214.15" customHeight="1" s="7">
      <c r="A532" s="16" t="inlineStr">
        <is>
          <t>Defense Evasion</t>
        </is>
      </c>
      <c r="B532" s="16" t="inlineStr">
        <is>
          <t>T1055</t>
        </is>
      </c>
      <c r="C532" s="16" t="inlineStr">
        <is>
          <t>Process Injection</t>
        </is>
      </c>
      <c r="D532" s="16" t="inlineStr">
        <is>
          <t>T1055.008</t>
        </is>
      </c>
      <c r="E532" s="16" t="inlineStr">
        <is>
          <t>Ptrace System Calls</t>
        </is>
      </c>
      <c r="F532" s="16" t="inlineStr">
        <is>
          <t>Partial</t>
        </is>
      </c>
      <c r="G532"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2"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2" s="16" t="inlineStr">
        <is>
          <t>Dynamic module loading, eval execution, unsafe imports, etc.</t>
        </is>
      </c>
      <c r="J532"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2" s="16" t="n"/>
      <c r="L532" s="16" t="inlineStr">
        <is>
          <t>https://attack.mitre.org/techniques/T1055</t>
        </is>
      </c>
    </row>
    <row r="533" ht="214.15" customHeight="1" s="7">
      <c r="A533" s="16" t="inlineStr">
        <is>
          <t>Defense Evasion</t>
        </is>
      </c>
      <c r="B533" s="16" t="inlineStr">
        <is>
          <t>T1055</t>
        </is>
      </c>
      <c r="C533" s="16" t="inlineStr">
        <is>
          <t>Process Injection</t>
        </is>
      </c>
      <c r="D533" s="16" t="inlineStr">
        <is>
          <t>T1055.009</t>
        </is>
      </c>
      <c r="E533" s="16" t="inlineStr">
        <is>
          <t>Proc Memory</t>
        </is>
      </c>
      <c r="F533" s="16" t="inlineStr">
        <is>
          <t>Partial</t>
        </is>
      </c>
      <c r="G533"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3"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3" s="16" t="inlineStr">
        <is>
          <t>Mostly ordinary user privileges, but analogous privilege escalation is possible if API keys are stolen.</t>
        </is>
      </c>
      <c r="J533"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3" s="16" t="n"/>
      <c r="L533" s="16" t="inlineStr">
        <is>
          <t>https://attack.mitre.org/techniques/T1055</t>
        </is>
      </c>
    </row>
    <row r="534" ht="214.15" customHeight="1" s="7">
      <c r="A534" s="16" t="inlineStr">
        <is>
          <t>Defense Evasion</t>
        </is>
      </c>
      <c r="B534" s="16" t="inlineStr">
        <is>
          <t>T1055</t>
        </is>
      </c>
      <c r="C534" s="16" t="inlineStr">
        <is>
          <t>Process Injection</t>
        </is>
      </c>
      <c r="D534" s="16" t="inlineStr">
        <is>
          <t>T1055.011</t>
        </is>
      </c>
      <c r="E534" s="16" t="inlineStr">
        <is>
          <t>Extra Window Memory Injection</t>
        </is>
      </c>
      <c r="F534" s="16" t="inlineStr">
        <is>
          <t>Partial</t>
        </is>
      </c>
      <c r="G534"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4"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4" s="16" t="inlineStr">
        <is>
          <t>Mostly ordinary user privileges, but analogous privilege escalation is possible if API keys are stolen.</t>
        </is>
      </c>
      <c r="J534"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4" s="16" t="n"/>
      <c r="L534" s="16" t="inlineStr">
        <is>
          <t>https://attack.mitre.org/techniques/T1055</t>
        </is>
      </c>
    </row>
    <row r="535" ht="214.15" customHeight="1" s="7">
      <c r="A535" s="16" t="inlineStr">
        <is>
          <t>Defense Evasion</t>
        </is>
      </c>
      <c r="B535" s="16" t="inlineStr">
        <is>
          <t>T1055</t>
        </is>
      </c>
      <c r="C535" s="16" t="inlineStr">
        <is>
          <t>Process Injection</t>
        </is>
      </c>
      <c r="D535" s="16" t="inlineStr">
        <is>
          <t>T1055.012</t>
        </is>
      </c>
      <c r="E535" s="16" t="inlineStr">
        <is>
          <t>Process Hollowing</t>
        </is>
      </c>
      <c r="F535" s="16" t="inlineStr">
        <is>
          <t>Partial</t>
        </is>
      </c>
      <c r="G535"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5"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5" s="16" t="inlineStr">
        <is>
          <t>Mostly ordinary user privileges, but analogous privilege escalation is possible if API keys are stolen.</t>
        </is>
      </c>
      <c r="J535"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5" s="16" t="n"/>
      <c r="L535" s="16" t="inlineStr">
        <is>
          <t>https://attack.mitre.org/techniques/T1055</t>
        </is>
      </c>
    </row>
    <row r="536" ht="214.15" customHeight="1" s="7">
      <c r="A536" s="16" t="inlineStr">
        <is>
          <t>Defense Evasion</t>
        </is>
      </c>
      <c r="B536" s="16" t="inlineStr">
        <is>
          <t>T1055</t>
        </is>
      </c>
      <c r="C536" s="16" t="inlineStr">
        <is>
          <t>Process Injection</t>
        </is>
      </c>
      <c r="D536" s="16" t="inlineStr">
        <is>
          <t>T1055.013</t>
        </is>
      </c>
      <c r="E536" s="16" t="inlineStr">
        <is>
          <t>Process Doppelgänging</t>
        </is>
      </c>
      <c r="F536" s="16" t="inlineStr">
        <is>
          <t>Partial</t>
        </is>
      </c>
      <c r="G536"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6"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6" s="16" t="inlineStr">
        <is>
          <t>In serverless contexts, log-based detection is required (CloudTrail, API Gateway logs, etc.).</t>
        </is>
      </c>
      <c r="J536"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6" s="16" t="n"/>
      <c r="L536" s="16" t="inlineStr">
        <is>
          <t>https://attack.mitre.org/techniques/T1055</t>
        </is>
      </c>
    </row>
    <row r="537" ht="214.15" customHeight="1" s="7">
      <c r="A537" s="16" t="inlineStr">
        <is>
          <t>Defense Evasion</t>
        </is>
      </c>
      <c r="B537" s="16" t="inlineStr">
        <is>
          <t>T1055</t>
        </is>
      </c>
      <c r="C537" s="16" t="inlineStr">
        <is>
          <t>Process Injection</t>
        </is>
      </c>
      <c r="D537" s="16" t="inlineStr">
        <is>
          <t>T1055.014</t>
        </is>
      </c>
      <c r="E537" s="16" t="inlineStr">
        <is>
          <t>VDSO Hijacking</t>
        </is>
      </c>
      <c r="F537" s="16" t="inlineStr">
        <is>
          <t>Partial</t>
        </is>
      </c>
      <c r="G537"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7"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7" s="16" t="inlineStr">
        <is>
          <t>In serverless contexts, log-based detection is required (CloudTrail, API Gateway logs, etc.).</t>
        </is>
      </c>
      <c r="J537"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7" s="16" t="n"/>
      <c r="L537" s="16" t="inlineStr">
        <is>
          <t>https://attack.mitre.org/techniques/T1055</t>
        </is>
      </c>
    </row>
    <row r="538" ht="214.15" customHeight="1" s="7">
      <c r="A538" s="16" t="inlineStr">
        <is>
          <t>Defense Evasion</t>
        </is>
      </c>
      <c r="B538" s="16" t="inlineStr">
        <is>
          <t>T1055</t>
        </is>
      </c>
      <c r="C538" s="16" t="inlineStr">
        <is>
          <t>Process Injection</t>
        </is>
      </c>
      <c r="D538" s="16" t="inlineStr">
        <is>
          <t>T1055.015</t>
        </is>
      </c>
      <c r="E538" s="16" t="inlineStr">
        <is>
          <t>ListPlanting</t>
        </is>
      </c>
      <c r="F538" s="16" t="inlineStr">
        <is>
          <t>Partial</t>
        </is>
      </c>
      <c r="G538" s="16" t="inlineStr">
        <is>
          <t>DID systems mostly operate in serverless environments composed of lightweight processes or in web-based architectures, so the risk of traditional OS-level process injection is relatively low. However, relevance partially holds under the following conditions:
- The VC verifier/issuer runs as an independent process and integrates with external libraries.
- Malicious code insertion is induced inside serverless functions (AWS Lambda, Cloud Functions, etc.).
- Structures in which dynamic module loading can be abused in interpreter-based processes such as Node.js and Python.
Structural relevance:
- DID Wallet (client): Low (the threat of OS-level process injection is low in web app/mobile environments).
- DID Agent Server / VC issuer: Medium (Node.js/Python-based processes run directly on the server and can become injection targets).
- VC verifier / CredentialStatus API: Medium (external library injection is possible if a standalone server process exists).
- Serverless environments (Lambda, etc.): Medium (not process-based, but code may be injected into the function execution context).</t>
        </is>
      </c>
      <c r="H538" s="16" t="inlineStr">
        <is>
          <t>1. Malicious commands are executed by altering the process execution flow.
2. Can be used for privilege escalation and hijacking of the authentication flow.
3. Can be used as a concealment method for bypassing EDR or log collection.
4. VC manipulation can be attempted through external modules injected at execution time.</t>
        </is>
      </c>
      <c r="I538" s="16" t="inlineStr">
        <is>
          <t>In serverless contexts, log-based detection is required (CloudTrail, API Gateway logs, etc.).</t>
        </is>
      </c>
      <c r="J538" s="16" t="inlineStr">
        <is>
          <t>1. Restrict dynamic loading of external libraries on VC issuance/verification servers.
2. Static analysis of eval() and exec() usage within functions is mandatory.
3. Strengthen integrity verification of dependency modules from WASM, NPM, PyPI, etc.
4. Behaviors such as file handle changes and dynamic imports in running processes need to be logged.
5. Introduce execution-context integrity checks for serverless functions or cloud runtimes.</t>
        </is>
      </c>
      <c r="K538" s="16" t="n"/>
      <c r="L538" s="16" t="inlineStr">
        <is>
          <t>https://attack.mitre.org/techniques/T1055</t>
        </is>
      </c>
    </row>
    <row r="539" ht="180.55" customHeight="1" s="7">
      <c r="A539" s="16" t="inlineStr">
        <is>
          <t>Defense Evasion</t>
        </is>
      </c>
      <c r="B539" s="16" t="inlineStr">
        <is>
          <t>T1620</t>
        </is>
      </c>
      <c r="C539" s="16" t="inlineStr">
        <is>
          <t>Reflective Code Loading</t>
        </is>
      </c>
      <c r="D539" s="16" t="n"/>
      <c r="E539" s="16" t="n"/>
      <c r="F539" s="16" t="inlineStr">
        <is>
          <t>Partial</t>
        </is>
      </c>
      <c r="G539" s="16" t="inlineStr">
        <is>
          <t>DID systems mainly operate in Node.js, Python, and WebAssembly execution contexts that are lighter than OS processes, and structures that load and execute code in memory without files are possible. In particular, .NET, Python importlib, JavaScript eval, WASM modules, etc. are structurally similar to Reflective Code Loading techniques and partially apply to code injection scenarios in serverless environments or inside VC issuer servers.
Structural relevance:
- DID Wallet (client): Low (generally a browser or mobile app, with limited reflective loading capability).
- DID Agent Server / VC issuer: High (Python/Node.js-based, so externally supplied code or malicious modules can execute in memory).
- VC verifier / CredentialStatus API: Medium (memory-based loading structures may be included in real-time verification logic).
- Off-chain DID Registry access: Low (static-query-centric structure unrelated to code loading).</t>
        </is>
      </c>
      <c r="H539" s="16" t="inlineStr">
        <is>
          <t>1. External input (VC, JWT, JSON, etc.) can be parsed as code and executed in memory.
2. Code can be loaded without files in interpreter environments such as .NET, Python, and Node.js.
3. Malicious code operates in memory without disk traces, bypassing traditional EDR detection.
4. If Reflective Loading is abused inside the authentication logic, forged VCs or malicious logic can be executed.</t>
        </is>
      </c>
      <c r="I539" s="16" t="inlineStr">
        <is>
          <t>DID system</t>
        </is>
      </c>
      <c r="J539" s="16" t="inlineStr">
        <is>
          <t>1. Insert static analysis and runtime integrity verification logic for VC issuer/verifier code.
2. Log and control the use of dynamic execution logic such as eval(), exec(), importlib, and Function().
3. Monitor whether WASM modules and external script loaders perform Reflective Loads.
4. In Lambda, Cloud Run, etc., apply filtering of execution logic based on environment variables and input data.
5. A system is needed to record the execution context and generate alerts at the point of execution of encrypted PE/WASM.</t>
        </is>
      </c>
      <c r="K539" s="16" t="n"/>
      <c r="L539" s="16" t="inlineStr">
        <is>
          <t>https://attack.mitre.org/techniques/T1620</t>
        </is>
      </c>
    </row>
    <row r="540" ht="68.65000000000001" customHeight="1" s="7">
      <c r="A540" s="16" t="inlineStr">
        <is>
          <t>Defense Evasion</t>
        </is>
      </c>
      <c r="B540" s="16" t="inlineStr">
        <is>
          <t>T1207</t>
        </is>
      </c>
      <c r="C540" s="16" t="inlineStr">
        <is>
          <t>Rogue Domain Controller</t>
        </is>
      </c>
      <c r="D540" s="16" t="n"/>
      <c r="E540" s="16" t="n"/>
      <c r="F540" s="16" t="inlineStr">
        <is>
          <t>No</t>
        </is>
      </c>
      <c r="G540" s="16" t="inlineStr">
        <is>
          <t>DID authentication systems do not use a central AD-based domain structure, and the authentication flow is built mainly on Decentralized Identifiers, Verifiable Credentials, JSON Web Tokens, etc. In addition, privilege control in DID systems is generally performed with lightweight identity models such as OAuth2, IAM, and role-based access rather than Active Directory.</t>
        </is>
      </c>
      <c r="H540" s="16" t="inlineStr">
        <is>
          <t>-</t>
        </is>
      </c>
      <c r="I540" s="16" t="inlineStr">
        <is>
          <t>DID system</t>
        </is>
      </c>
      <c r="J540" s="16" t="inlineStr">
        <is>
          <t>-</t>
        </is>
      </c>
      <c r="K540" s="16" t="n"/>
      <c r="L540" s="16" t="inlineStr">
        <is>
          <t>https://attack.mitre.org/techniques/T1207</t>
        </is>
      </c>
    </row>
    <row r="541" ht="169.4" customHeight="1" s="7">
      <c r="A541" s="16" t="inlineStr">
        <is>
          <t>Defense Evasion</t>
        </is>
      </c>
      <c r="B541" s="16" t="inlineStr">
        <is>
          <t>T1014</t>
        </is>
      </c>
      <c r="C541" s="16" t="inlineStr">
        <is>
          <t>Rootkit</t>
        </is>
      </c>
      <c r="D541" s="16" t="n"/>
      <c r="E541" s="16" t="n"/>
      <c r="F541" s="16" t="inlineStr">
        <is>
          <t>Partial</t>
        </is>
      </c>
      <c r="G541" s="16" t="inlineStr">
        <is>
          <t>The DID authentication system itself is structurally different from the OS kernel layer that rootkits mainly target, but rootkit-like techniques may apply in container-based microservices, TEE-based VC processing systems, and serverless environments. In particular, rootkit-level concealment techniques on nodes hosting authentication modules can make detection difficult.
Structural relevance:
- VC issuer / verifier (server): High (if a rootkit is installed, VC forgery activity can be concealed).
- CredentialStatus API: Medium (concealment functions can be used when issuing forged status-change requests).
- DID Wallet (Client): Low (generally little direct relation to OS-level rootkits).
- VC processing in TEE / VM environments: High (if a Hypervisor/kernel-level rootkit runs, execution results may be tampered with).</t>
        </is>
      </c>
      <c r="H541" s="16" t="inlineStr">
        <is>
          <t>1. Malicious components concealed within the system can perform authentication or status changes while masquerading as the normal flow.
2. To evade detection, activities such as VC forgery, issuance log manipulation, and forging CredentialStatus values can be hidden at the kernel level.
3. Both rootkits and DID have privilege/role-based execution logic at the OS or container level, so manipulation makes detection difficult.</t>
        </is>
      </c>
      <c r="I541" s="16" t="inlineStr">
        <is>
          <t>DID system</t>
        </is>
      </c>
      <c r="J541" s="16" t="inlineStr">
        <is>
          <t>1. In container-based VC issuer/verifier environments, periodic integrity checks and file hash monitoring are needed to detect insertion of rootkit-like concealment functions.
2. Strengthen collection and analysis of native API call logs so that kernel hooking or rootkit-style module insertion in WAS or TEE execution environments can be detected.
3. In serverless or VM environments, consider server image immutability and integration with runtime monitoring tools.
4. Detection of rootkit concealment activity is needed by linking status-change APIs and VC reissuance logic with anomaly detection systems for branch conditions/data flows.</t>
        </is>
      </c>
      <c r="K541" s="16" t="n"/>
      <c r="L541" s="16" t="inlineStr">
        <is>
          <t>https://attack.mitre.org/techniques/T1014</t>
        </is>
      </c>
    </row>
    <row r="542" ht="169.4" customHeight="1" s="7">
      <c r="A542" s="16" t="inlineStr">
        <is>
          <t>Defense Evasion</t>
        </is>
      </c>
      <c r="B542" s="16" t="inlineStr">
        <is>
          <t>T1553</t>
        </is>
      </c>
      <c r="C542" s="16" t="inlineStr">
        <is>
          <t>Subvert Trust Controls</t>
        </is>
      </c>
      <c r="D542" s="16" t="inlineStr">
        <is>
          <t>T1553.001</t>
        </is>
      </c>
      <c r="E542" s="16" t="inlineStr">
        <is>
          <t>Gatekeeper Bypass</t>
        </is>
      </c>
      <c r="F542" s="16" t="inlineStr">
        <is>
          <t>Partial</t>
        </is>
      </c>
      <c r="G542" s="16" t="inlineStr">
        <is>
          <t>DID authentication systems build authentication flows based on VCs, JWTs, and status APIs rather than OS-level execution restriction policies, but some VC issuance/verification modules may use root certificate trust settings, digital signature verification, and SIP-like trust Providers. In addition, mark-of-the-web-like attributes or code-signing validity checks may be bypassed in browser-based Wallets.
Structural relevance:
- DID Wallet (client): Medium (possible bypass of mark-of-the-web or app signatures in web browsers or mobile apps).
- VC issuer / verifier: High (the authentication flow can be forged by manipulating root certificates or trust Provider registration).
- CredentialStatus API: Medium (trust can be bypassed with forged signature values during status changes).
- DID Registry access layer: Low (usually includes no signature verification or only calls external blockchain endpoints).</t>
        </is>
      </c>
      <c r="H542" s="16" t="inlineStr">
        <is>
          <t>1. In all cases, the core is to pass or bypass "trust-based execution/verification" so that the attacker's malicious results appear legitimate.
2. By manipulating certificate- or signature-based verification logic, system operators fail to recognize the threat.
3. VC signature and signer verification logic and OS code-signing policies both depend on a basis of trust.</t>
        </is>
      </c>
      <c r="I542" s="16" t="inlineStr">
        <is>
          <t>DID system</t>
        </is>
      </c>
      <c r="J542" s="16" t="inlineStr">
        <is>
          <t>1. Add integrity verification logic so that the list of issuers trusted by the VC verifier and status API is synchronized automatically or cannot be forcibly manipulated from outside.
2. Strengthen app signature validity checks in client Wallets to prevent bypass of mark-of-the-web or source attributes.
3. Build logic that checks the trust level of signers or digital IDs based on code signing certificates included in VCs.
4. Manage the trust policy settings of verifiers or issuers acting as trust Providers through central administrator policies rather than hardcoding.</t>
        </is>
      </c>
      <c r="K542" s="16" t="n"/>
      <c r="L542" s="16" t="inlineStr">
        <is>
          <t>https://attack.mitre.org/techniques/T1553</t>
        </is>
      </c>
    </row>
    <row r="543" ht="169.4" customHeight="1" s="7">
      <c r="A543" s="16" t="inlineStr">
        <is>
          <t>Defense Evasion</t>
        </is>
      </c>
      <c r="B543" s="16" t="inlineStr">
        <is>
          <t>T1553</t>
        </is>
      </c>
      <c r="C543" s="16" t="inlineStr">
        <is>
          <t>Subvert Trust Controls</t>
        </is>
      </c>
      <c r="D543" s="16" t="inlineStr">
        <is>
          <t>T1553.002</t>
        </is>
      </c>
      <c r="E543" s="16" t="inlineStr">
        <is>
          <t>Code Signing</t>
        </is>
      </c>
      <c r="F543" s="16" t="inlineStr">
        <is>
          <t>Partial</t>
        </is>
      </c>
      <c r="G543" s="16" t="inlineStr">
        <is>
          <t>DID authentication systems build authentication flows based on VCs, JWTs, and status APIs rather than OS-level execution restriction policies, but some VC issuance/verification modules may use root certificate trust settings, digital signature verification, and SIP-like trust Providers. In addition, mark-of-the-web-like attributes or code-signing validity checks may be bypassed in browser-based Wallets.
Structural relevance:
- DID Wallet (client): Medium (possible bypass of mark-of-the-web or app signatures in web browsers or mobile apps).
- VC issuer / verifier: High (the authentication flow can be forged by manipulating root certificates or trust Provider registration).
- CredentialStatus API: Medium (trust can be bypassed with forged signature values during status changes).
- DID Registry access layer: Low (usually includes no signature verification or only calls external blockchain endpoints).</t>
        </is>
      </c>
      <c r="H543" s="16" t="inlineStr">
        <is>
          <t>1. In all cases, the core is to pass or bypass "trust-based execution/verification" so that the attacker's malicious results appear legitimate.
2. By manipulating certificate- or signature-based verification logic, system operators fail to recognize the threat.
3. VC signature and signer verification logic and OS code-signing policies both depend on a basis of trust.</t>
        </is>
      </c>
      <c r="I543" s="16" t="inlineStr">
        <is>
          <t>The VC issuer's signer list and the client's trust verification logic.</t>
        </is>
      </c>
      <c r="J543" s="16" t="inlineStr">
        <is>
          <t>1. Add integrity verification logic so that the list of issuers trusted by the VC verifier and status API is synchronized automatically or cannot be forcibly manipulated from outside.
2. Strengthen app signature validity checks in client Wallets to prevent bypass of mark-of-the-web or source attributes.
3. Build logic that checks the trust level of signers or digital IDs based on code signing certificates included in VCs.
4. Manage the trust policy settings of verifiers or issuers acting as trust Providers through central administrator policies rather than hardcoding.</t>
        </is>
      </c>
      <c r="K543" s="16" t="n"/>
      <c r="L543" s="16" t="inlineStr">
        <is>
          <t>https://attack.mitre.org/techniques/T1553</t>
        </is>
      </c>
    </row>
    <row r="544" ht="169.4" customHeight="1" s="7">
      <c r="A544" s="16" t="inlineStr">
        <is>
          <t>Defense Evasion</t>
        </is>
      </c>
      <c r="B544" s="16" t="inlineStr">
        <is>
          <t>T1553</t>
        </is>
      </c>
      <c r="C544" s="16" t="inlineStr">
        <is>
          <t>Subvert Trust Controls</t>
        </is>
      </c>
      <c r="D544" s="16" t="inlineStr">
        <is>
          <t>T1553.003</t>
        </is>
      </c>
      <c r="E544" s="16" t="inlineStr">
        <is>
          <t>SIP and Trust Provider Hijacking</t>
        </is>
      </c>
      <c r="F544" s="16" t="inlineStr">
        <is>
          <t>Partial</t>
        </is>
      </c>
      <c r="G544" s="16" t="inlineStr">
        <is>
          <t>DID authentication systems build authentication flows based on VCs, JWTs, and status APIs rather than OS-level execution restriction policies, but some VC issuance/verification modules may use root certificate trust settings, digital signature verification, and SIP-like trust Providers. In addition, mark-of-the-web-like attributes or code-signing validity checks may be bypassed in browser-based Wallets.
Structural relevance:
- DID Wallet (client): Medium (possible bypass of mark-of-the-web or app signatures in web browsers or mobile apps).
- VC issuer / verifier: High (the authentication flow can be forged by manipulating root certificates or trust Provider registration).
- CredentialStatus API: Medium (trust can be bypassed with forged signature values during status changes).
- DID Registry access layer: Low (usually includes no signature verification or only calls external blockchain endpoints).</t>
        </is>
      </c>
      <c r="H544" s="16" t="inlineStr">
        <is>
          <t>1. In all cases, the core is to pass or bypass "trust-based execution/verification" so that the attacker's malicious results appear legitimate.
2. By manipulating certificate- or signature-based verification logic, system operators fail to recognize the threat.
3. VC signature and signer verification logic and OS code-signing policies both depend on a basis of trust.</t>
        </is>
      </c>
      <c r="I544" s="16" t="inlineStr">
        <is>
          <t>VC issuers/verifiers and browser-based Wallet apps.</t>
        </is>
      </c>
      <c r="J544" s="16" t="inlineStr">
        <is>
          <t>1. Add integrity verification logic so that the list of issuers trusted by the VC verifier and status API is synchronized automatically or cannot be forcibly manipulated from outside.
2. Strengthen app signature validity checks in client Wallets to prevent bypass of mark-of-the-web or source attributes.
3. Build logic that checks the trust level of signers or digital IDs based on code signing certificates included in VCs.
4. Manage the trust policy settings of verifiers or issuers acting as trust Providers through central administrator policies rather than hardcoding.</t>
        </is>
      </c>
      <c r="K544" s="16" t="n"/>
      <c r="L544" s="16" t="inlineStr">
        <is>
          <t>https://attack.mitre.org/techniques/T1553</t>
        </is>
      </c>
    </row>
    <row r="545" ht="169.4" customHeight="1" s="7">
      <c r="A545" s="16" t="inlineStr">
        <is>
          <t>Defense Evasion</t>
        </is>
      </c>
      <c r="B545" s="16" t="inlineStr">
        <is>
          <t>T1553</t>
        </is>
      </c>
      <c r="C545" s="16" t="inlineStr">
        <is>
          <t>Subvert Trust Controls</t>
        </is>
      </c>
      <c r="D545" s="16" t="inlineStr">
        <is>
          <t>T1553.004</t>
        </is>
      </c>
      <c r="E545" s="16" t="inlineStr">
        <is>
          <t>Install Root Certificate</t>
        </is>
      </c>
      <c r="F545" s="16" t="inlineStr">
        <is>
          <t>Partial</t>
        </is>
      </c>
      <c r="G545" s="16" t="inlineStr">
        <is>
          <t>DID authentication systems build authentication flows based on VCs, JWTs, and status APIs rather than OS-level execution restriction policies, but some VC issuance/verification modules may use root certificate trust settings, digital signature verification, and SIP-like trust Providers. In addition, mark-of-the-web-like attributes or code-signing validity checks may be bypassed in browser-based Wallets.
Structural relevance:
- DID Wallet (client): Medium (possible bypass of mark-of-the-web or app signatures in web browsers or mobile apps).
- VC issuer / verifier: High (the authentication flow can be forged by manipulating root certificates or trust Provider registration).
- CredentialStatus API: Medium (trust can be bypassed with forged signature values during status changes).
- DID Registry access layer: Low (usually includes no signature verification or only calls external blockchain endpoints).</t>
        </is>
      </c>
      <c r="H545" s="16" t="inlineStr">
        <is>
          <t>1. In all cases, the core is to pass or bypass "trust-based execution/verification" so that the attacker's malicious results appear legitimate.
2. By manipulating certificate- or signature-based verification logic, system operators fail to recognize the threat.
3. VC signature and signer verification logic and OS code-signing policies both depend on a basis of trust.</t>
        </is>
      </c>
      <c r="I545" s="16" t="inlineStr">
        <is>
          <t>Ignoring trusted-signer binding, skipping verification, or poisoning the trust list.</t>
        </is>
      </c>
      <c r="J545" s="16" t="inlineStr">
        <is>
          <t>1. Add integrity verification logic so that the list of issuers trusted by the VC verifier and status API is synchronized automatically or cannot be forcibly manipulated from outside.
2. Strengthen app signature validity checks in client Wallets to prevent bypass of mark-of-the-web or source attributes.
3. Build logic that checks the trust level of signers or digital IDs based on code signing certificates included in VCs.
4. Manage the trust policy settings of verifiers or issuers acting as trust Providers through central administrator policies rather than hardcoding.</t>
        </is>
      </c>
      <c r="K545" s="16" t="n"/>
      <c r="L545" s="16" t="inlineStr">
        <is>
          <t>https://attack.mitre.org/techniques/T1553</t>
        </is>
      </c>
    </row>
    <row r="546" ht="169.4" customHeight="1" s="7">
      <c r="A546" s="16" t="inlineStr">
        <is>
          <t>Defense Evasion</t>
        </is>
      </c>
      <c r="B546" s="16" t="inlineStr">
        <is>
          <t>T1553</t>
        </is>
      </c>
      <c r="C546" s="16" t="inlineStr">
        <is>
          <t>Subvert Trust Controls</t>
        </is>
      </c>
      <c r="D546" s="16" t="inlineStr">
        <is>
          <t>T1553.005</t>
        </is>
      </c>
      <c r="E546" s="16" t="inlineStr">
        <is>
          <t>Mark-of-the-Web Bypass</t>
        </is>
      </c>
      <c r="F546" s="16" t="inlineStr">
        <is>
          <t>Partial</t>
        </is>
      </c>
      <c r="G546" s="16" t="inlineStr">
        <is>
          <t>DID authentication systems build authentication flows based on VCs, JWTs, and status APIs rather than OS-level execution restriction policies, but some VC issuance/verification modules may use root certificate trust settings, digital signature verification, and SIP-like trust Providers. In addition, mark-of-the-web-like attributes or code-signing validity checks may be bypassed in browser-based Wallets.
Structural relevance:
- DID Wallet (client): Medium (possible bypass of mark-of-the-web or app signatures in web browsers or mobile apps).
- VC issuer / verifier: High (the authentication flow can be forged by manipulating root certificates or trust Provider registration).
- CredentialStatus API: Medium (trust can be bypassed with forged signature values during status changes).
- DID Registry access layer: Low (usually includes no signature verification or only calls external blockchain endpoints).</t>
        </is>
      </c>
      <c r="H546" s="16" t="inlineStr">
        <is>
          <t>1. In all cases, the core is to pass or bypass "trust-based execution/verification" so that the attacker's malicious results appear legitimate.
2. By manipulating certificate- or signature-based verification logic, system operators fail to recognize the threat.
3. VC signature and signer verification logic and OS code-signing policies both depend on a basis of trust.</t>
        </is>
      </c>
      <c r="I546" s="16" t="inlineStr">
        <is>
          <t>Skipping VC or JWT verification and manipulating the trustworthiness of the signer in a VC.</t>
        </is>
      </c>
      <c r="J546" s="16" t="inlineStr">
        <is>
          <t>1. Add integrity verification logic so that the list of issuers trusted by the VC verifier and status API is synchronized automatically or cannot be forcibly manipulated from outside.
2. Strengthen app signature validity checks in client Wallets to prevent bypass of mark-of-the-web or source attributes.
3. Build logic that checks the trust level of signers or digital IDs based on code signing certificates included in VCs.
4. Manage the trust policy settings of verifiers or issuers acting as trust Providers through central administrator policies rather than hardcoding.</t>
        </is>
      </c>
      <c r="K546" s="16" t="n"/>
      <c r="L546" s="16" t="inlineStr">
        <is>
          <t>https://attack.mitre.org/techniques/T1553</t>
        </is>
      </c>
    </row>
    <row r="547" ht="169.4" customHeight="1" s="7">
      <c r="A547" s="16" t="inlineStr">
        <is>
          <t>Defense Evasion</t>
        </is>
      </c>
      <c r="B547" s="16" t="inlineStr">
        <is>
          <t>T1553</t>
        </is>
      </c>
      <c r="C547" s="16" t="inlineStr">
        <is>
          <t>Subvert Trust Controls</t>
        </is>
      </c>
      <c r="D547" s="16" t="inlineStr">
        <is>
          <t>T1553.006</t>
        </is>
      </c>
      <c r="E547" s="16" t="inlineStr">
        <is>
          <t>Code Signing Policy Modification</t>
        </is>
      </c>
      <c r="F547" s="16" t="inlineStr">
        <is>
          <t>Partial</t>
        </is>
      </c>
      <c r="G547" s="16" t="inlineStr">
        <is>
          <t>DID authentication systems build authentication flows based on VCs, JWTs, and status APIs rather than OS-level execution restriction policies, but some VC issuance/verification modules may use root certificate trust settings, digital signature verification, and SIP-like trust Providers. In addition, mark-of-the-web-like attributes or code-signing validity checks may be bypassed in browser-based Wallets.
Structural relevance:
- DID Wallet (client): Medium (possible bypass of mark-of-the-web or app signatures in web browsers or mobile apps).
- VC issuer / verifier: High (the authentication flow can be forged by manipulating root certificates or trust Provider registration).
- CredentialStatus API: Medium (trust can be bypassed with forged signature values during status changes).
- DID Registry access layer: Low (usually includes no signature verification or only calls external blockchain endpoints).</t>
        </is>
      </c>
      <c r="H547" s="16" t="inlineStr">
        <is>
          <t>1. In all cases, the core is to pass or bypass "trust-based execution/verification" so that the attacker's malicious results appear legitimate.
2. By manipulating certificate- or signature-based verification logic, system operators fail to recognize the threat.
3. VC signature and signer verification logic and OS code-signing policies both depend on a basis of trust.</t>
        </is>
      </c>
      <c r="I547" s="16" t="inlineStr">
        <is>
          <t>Skipping VC or JWT verification and manipulating the trustworthiness of the signer in a VC.</t>
        </is>
      </c>
      <c r="J547" s="16" t="inlineStr">
        <is>
          <t>1. Add integrity verification logic so that the list of issuers trusted by the VC verifier and status API is synchronized automatically or cannot be forcibly manipulated from outside.
2. Strengthen app signature validity checks in client Wallets to prevent bypass of mark-of-the-web or source attributes.
3. Build logic that checks the trust level of signers or digital IDs based on code signing certificates included in VCs.
4. Manage the trust policy settings of verifiers or issuers acting as trust Providers through central administrator policies rather than hardcoding.</t>
        </is>
      </c>
      <c r="K547" s="16" t="n"/>
      <c r="L547" s="16" t="inlineStr">
        <is>
          <t>https://attack.mitre.org/techniques/T1553</t>
        </is>
      </c>
    </row>
    <row r="548" ht="169.4" customHeight="1" s="7">
      <c r="A548" s="16" t="inlineStr">
        <is>
          <t>Defense Evasion</t>
        </is>
      </c>
      <c r="B548" s="16" t="inlineStr">
        <is>
          <t>T1218</t>
        </is>
      </c>
      <c r="C548" s="16" t="inlineStr">
        <is>
          <t>System Binary Proxy Execution</t>
        </is>
      </c>
      <c r="D548" s="16" t="inlineStr">
        <is>
          <t>T1218.001</t>
        </is>
      </c>
      <c r="E548" s="16" t="inlineStr">
        <is>
          <t>Compiled HTML File</t>
        </is>
      </c>
      <c r="F548" s="16" t="inlineStr">
        <is>
          <t>Partial</t>
        </is>
      </c>
      <c r="G548"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48"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48" s="16" t="inlineStr">
        <is>
          <t>DID system</t>
        </is>
      </c>
      <c r="J548"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48" s="16" t="n"/>
      <c r="L548" s="16" t="inlineStr">
        <is>
          <t>https://attack.mitre.org/techniques/T1218</t>
        </is>
      </c>
    </row>
    <row r="549" ht="169.4" customHeight="1" s="7">
      <c r="A549" s="16" t="inlineStr">
        <is>
          <t>Defense Evasion</t>
        </is>
      </c>
      <c r="B549" s="16" t="inlineStr">
        <is>
          <t>T1218</t>
        </is>
      </c>
      <c r="C549" s="16" t="inlineStr">
        <is>
          <t>System Binary Proxy Execution</t>
        </is>
      </c>
      <c r="D549" s="16" t="inlineStr">
        <is>
          <t>T1218.002</t>
        </is>
      </c>
      <c r="E549" s="16" t="inlineStr">
        <is>
          <t>Control Panel</t>
        </is>
      </c>
      <c r="F549" s="16" t="inlineStr">
        <is>
          <t>Partial</t>
        </is>
      </c>
      <c r="G549"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49"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49" s="16" t="inlineStr">
        <is>
          <t>DID system</t>
        </is>
      </c>
      <c r="J549"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49" s="16" t="n"/>
      <c r="L549" s="16" t="inlineStr">
        <is>
          <t>https://attack.mitre.org/techniques/T1218</t>
        </is>
      </c>
    </row>
    <row r="550" ht="169.4" customHeight="1" s="7">
      <c r="A550" s="16" t="inlineStr">
        <is>
          <t>Defense Evasion</t>
        </is>
      </c>
      <c r="B550" s="16" t="inlineStr">
        <is>
          <t>T1218</t>
        </is>
      </c>
      <c r="C550" s="16" t="inlineStr">
        <is>
          <t>System Binary Proxy Execution</t>
        </is>
      </c>
      <c r="D550" s="16" t="inlineStr">
        <is>
          <t>T1218.003</t>
        </is>
      </c>
      <c r="E550" s="16" t="inlineStr">
        <is>
          <t>CMSTP</t>
        </is>
      </c>
      <c r="F550" s="16" t="inlineStr">
        <is>
          <t>Partial</t>
        </is>
      </c>
      <c r="G550"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0"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0" s="16" t="inlineStr">
        <is>
          <t>VC issuance and verification function execution flows within the normal service flow</t>
        </is>
      </c>
      <c r="J550"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0" s="16" t="n"/>
      <c r="L550" s="16" t="inlineStr">
        <is>
          <t>https://attack.mitre.org/techniques/T1218</t>
        </is>
      </c>
    </row>
    <row r="551" ht="169.4" customHeight="1" s="7">
      <c r="A551" s="16" t="inlineStr">
        <is>
          <t>Defense Evasion</t>
        </is>
      </c>
      <c r="B551" s="16" t="inlineStr">
        <is>
          <t>T1218</t>
        </is>
      </c>
      <c r="C551" s="16" t="inlineStr">
        <is>
          <t>System Binary Proxy Execution</t>
        </is>
      </c>
      <c r="D551" s="16" t="inlineStr">
        <is>
          <t>T1218.004</t>
        </is>
      </c>
      <c r="E551" s="16" t="inlineStr">
        <is>
          <t>InstallUtil</t>
        </is>
      </c>
      <c r="F551" s="16" t="inlineStr">
        <is>
          <t>Partial</t>
        </is>
      </c>
      <c r="G551"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1"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1" s="16" t="inlineStr">
        <is>
          <t>VC issuance and verification function execution flows within the normal service flow</t>
        </is>
      </c>
      <c r="J551"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1" s="16" t="n"/>
      <c r="L551" s="16" t="inlineStr">
        <is>
          <t>https://attack.mitre.org/techniques/T1218</t>
        </is>
      </c>
    </row>
    <row r="552" ht="169.4" customHeight="1" s="7">
      <c r="A552" s="16" t="inlineStr">
        <is>
          <t>Defense Evasion</t>
        </is>
      </c>
      <c r="B552" s="16" t="inlineStr">
        <is>
          <t>T1218</t>
        </is>
      </c>
      <c r="C552" s="16" t="inlineStr">
        <is>
          <t>System Binary Proxy Execution</t>
        </is>
      </c>
      <c r="D552" s="16" t="inlineStr">
        <is>
          <t>T1218.005</t>
        </is>
      </c>
      <c r="E552" s="16" t="inlineStr">
        <is>
          <t>Mshta</t>
        </is>
      </c>
      <c r="F552" s="16" t="inlineStr">
        <is>
          <t>Partial</t>
        </is>
      </c>
      <c r="G552"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2"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2" s="16" t="inlineStr">
        <is>
          <t>VC issuance and verification function execution flows within the normal service flow</t>
        </is>
      </c>
      <c r="J552"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2" s="16" t="n"/>
      <c r="L552" s="16" t="inlineStr">
        <is>
          <t>https://attack.mitre.org/techniques/T1218</t>
        </is>
      </c>
    </row>
    <row r="553" ht="169.4" customHeight="1" s="7">
      <c r="A553" s="16" t="inlineStr">
        <is>
          <t>Defense Evasion</t>
        </is>
      </c>
      <c r="B553" s="16" t="inlineStr">
        <is>
          <t>T1218</t>
        </is>
      </c>
      <c r="C553" s="16" t="inlineStr">
        <is>
          <t>System Binary Proxy Execution</t>
        </is>
      </c>
      <c r="D553" s="16" t="inlineStr">
        <is>
          <t>T1218.007</t>
        </is>
      </c>
      <c r="E553" s="16" t="inlineStr">
        <is>
          <t>Msiexec</t>
        </is>
      </c>
      <c r="F553" s="16" t="inlineStr">
        <is>
          <t>Partial</t>
        </is>
      </c>
      <c r="G553"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3"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3" s="16" t="inlineStr">
        <is>
          <t>Middleware or open-source utilities running on Python or Node.js</t>
        </is>
      </c>
      <c r="J553"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3" s="16" t="n"/>
      <c r="L553" s="16" t="inlineStr">
        <is>
          <t>https://attack.mitre.org/techniques/T1218</t>
        </is>
      </c>
    </row>
    <row r="554" ht="169.4" customHeight="1" s="7">
      <c r="A554" s="16" t="inlineStr">
        <is>
          <t>Defense Evasion</t>
        </is>
      </c>
      <c r="B554" s="16" t="inlineStr">
        <is>
          <t>T1218</t>
        </is>
      </c>
      <c r="C554" s="16" t="inlineStr">
        <is>
          <t>System Binary Proxy Execution</t>
        </is>
      </c>
      <c r="D554" s="16" t="inlineStr">
        <is>
          <t>T1218.008</t>
        </is>
      </c>
      <c r="E554" s="16" t="inlineStr">
        <is>
          <t>Odbcconf</t>
        </is>
      </c>
      <c r="F554" s="16" t="inlineStr">
        <is>
          <t>Partial</t>
        </is>
      </c>
      <c r="G554"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4"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4" s="16" t="inlineStr">
        <is>
          <t>Middleware or open-source utilities running on Python or Node.js</t>
        </is>
      </c>
      <c r="J554"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4" s="16" t="n"/>
      <c r="L554" s="16" t="inlineStr">
        <is>
          <t>https://attack.mitre.org/techniques/T1218</t>
        </is>
      </c>
    </row>
    <row r="555" ht="169.4" customHeight="1" s="7">
      <c r="A555" s="16" t="inlineStr">
        <is>
          <t>Defense Evasion</t>
        </is>
      </c>
      <c r="B555" s="16" t="inlineStr">
        <is>
          <t>T1218</t>
        </is>
      </c>
      <c r="C555" s="16" t="inlineStr">
        <is>
          <t>System Binary Proxy Execution</t>
        </is>
      </c>
      <c r="D555" s="16" t="inlineStr">
        <is>
          <t>T1218.009</t>
        </is>
      </c>
      <c r="E555" s="16" t="inlineStr">
        <is>
          <t>Regsvcs/Regasm</t>
        </is>
      </c>
      <c r="F555" s="16" t="inlineStr">
        <is>
          <t>Partial</t>
        </is>
      </c>
      <c r="G555"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5"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5" s="16" t="inlineStr">
        <is>
          <t>Middleware or open-source utilities running on Python or Node.js</t>
        </is>
      </c>
      <c r="J555"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5" s="16" t="n"/>
      <c r="L555" s="16" t="inlineStr">
        <is>
          <t>https://attack.mitre.org/techniques/T1218</t>
        </is>
      </c>
    </row>
    <row r="556" ht="169.4" customHeight="1" s="7">
      <c r="A556" s="16" t="inlineStr">
        <is>
          <t>Defense Evasion</t>
        </is>
      </c>
      <c r="B556" s="16" t="inlineStr">
        <is>
          <t>T1218</t>
        </is>
      </c>
      <c r="C556" s="16" t="inlineStr">
        <is>
          <t>System Binary Proxy Execution</t>
        </is>
      </c>
      <c r="D556" s="16" t="inlineStr">
        <is>
          <t>T1218.010</t>
        </is>
      </c>
      <c r="E556" s="16" t="inlineStr">
        <is>
          <t>Regsvr32</t>
        </is>
      </c>
      <c r="F556" s="16" t="inlineStr">
        <is>
          <t>Partial</t>
        </is>
      </c>
      <c r="G556"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6"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6" s="16" t="inlineStr">
        <is>
          <t>Bypassing integrity verification of off-chain services or inserting malicious VCs</t>
        </is>
      </c>
      <c r="J556"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6" s="16" t="n"/>
      <c r="L556" s="16" t="inlineStr">
        <is>
          <t>https://attack.mitre.org/techniques/T1218</t>
        </is>
      </c>
    </row>
    <row r="557" ht="169.4" customHeight="1" s="7">
      <c r="A557" s="16" t="inlineStr">
        <is>
          <t>Defense Evasion</t>
        </is>
      </c>
      <c r="B557" s="16" t="inlineStr">
        <is>
          <t>T1218</t>
        </is>
      </c>
      <c r="C557" s="16" t="inlineStr">
        <is>
          <t>System Binary Proxy Execution</t>
        </is>
      </c>
      <c r="D557" s="16" t="inlineStr">
        <is>
          <t>T1218.011</t>
        </is>
      </c>
      <c r="E557" s="16" t="inlineStr">
        <is>
          <t>Rundll32</t>
        </is>
      </c>
      <c r="F557" s="16" t="inlineStr">
        <is>
          <t>Partial</t>
        </is>
      </c>
      <c r="G557"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7"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7" s="16" t="inlineStr">
        <is>
          <t>Bypassing integrity verification of off-chain services or inserting malicious VCs</t>
        </is>
      </c>
      <c r="J557"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7" s="16" t="n"/>
      <c r="L557" s="16" t="inlineStr">
        <is>
          <t>https://attack.mitre.org/techniques/T1218</t>
        </is>
      </c>
    </row>
    <row r="558" ht="169.4" customHeight="1" s="7">
      <c r="A558" s="16" t="inlineStr">
        <is>
          <t>Defense Evasion</t>
        </is>
      </c>
      <c r="B558" s="16" t="inlineStr">
        <is>
          <t>T1218</t>
        </is>
      </c>
      <c r="C558" s="16" t="inlineStr">
        <is>
          <t>System Binary Proxy Execution</t>
        </is>
      </c>
      <c r="D558" s="16" t="inlineStr">
        <is>
          <t>T1218.012</t>
        </is>
      </c>
      <c r="E558" s="16" t="inlineStr">
        <is>
          <t>Verclsid</t>
        </is>
      </c>
      <c r="F558" s="16" t="inlineStr">
        <is>
          <t>Partial</t>
        </is>
      </c>
      <c r="G558"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8"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8" s="16" t="inlineStr">
        <is>
          <t>Bypassing integrity verification of off-chain services or inserting malicious VCs</t>
        </is>
      </c>
      <c r="J558"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8" s="16" t="n"/>
      <c r="L558" s="16" t="inlineStr">
        <is>
          <t>https://attack.mitre.org/techniques/T1218</t>
        </is>
      </c>
    </row>
    <row r="559" ht="169.4" customHeight="1" s="7">
      <c r="A559" s="16" t="inlineStr">
        <is>
          <t>Defense Evasion</t>
        </is>
      </c>
      <c r="B559" s="16" t="inlineStr">
        <is>
          <t>T1218</t>
        </is>
      </c>
      <c r="C559" s="16" t="inlineStr">
        <is>
          <t>System Binary Proxy Execution</t>
        </is>
      </c>
      <c r="D559" s="16" t="inlineStr">
        <is>
          <t>T1218.013</t>
        </is>
      </c>
      <c r="E559" s="16" t="inlineStr">
        <is>
          <t>Mavinject</t>
        </is>
      </c>
      <c r="F559" s="16" t="inlineStr">
        <is>
          <t>Partial</t>
        </is>
      </c>
      <c r="G559"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59"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59" s="16" t="inlineStr">
        <is>
          <t>Mostly off-chain environments, making detection with traditional methods difficult</t>
        </is>
      </c>
      <c r="J559"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59" s="16" t="n"/>
      <c r="L559" s="16" t="inlineStr">
        <is>
          <t>https://attack.mitre.org/techniques/T1218</t>
        </is>
      </c>
    </row>
    <row r="560" ht="169.4" customHeight="1" s="7">
      <c r="A560" s="16" t="inlineStr">
        <is>
          <t>Defense Evasion</t>
        </is>
      </c>
      <c r="B560" s="16" t="inlineStr">
        <is>
          <t>T1218</t>
        </is>
      </c>
      <c r="C560" s="16" t="inlineStr">
        <is>
          <t>System Binary Proxy Execution</t>
        </is>
      </c>
      <c r="D560" s="16" t="inlineStr">
        <is>
          <t>T1218.014</t>
        </is>
      </c>
      <c r="E560" s="16" t="inlineStr">
        <is>
          <t>MMC</t>
        </is>
      </c>
      <c r="F560" s="16" t="inlineStr">
        <is>
          <t>Partial</t>
        </is>
      </c>
      <c r="G560"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60"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60" s="16" t="inlineStr">
        <is>
          <t>Mostly off-chain environments, making detection with traditional methods difficult</t>
        </is>
      </c>
      <c r="J560"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60" s="16" t="n"/>
      <c r="L560" s="16" t="inlineStr">
        <is>
          <t>https://attack.mitre.org/techniques/T1218</t>
        </is>
      </c>
    </row>
    <row r="561" ht="169.4" customHeight="1" s="7">
      <c r="A561" s="16" t="inlineStr">
        <is>
          <t>Defense Evasion</t>
        </is>
      </c>
      <c r="B561" s="16" t="inlineStr">
        <is>
          <t>T1218</t>
        </is>
      </c>
      <c r="C561" s="16" t="inlineStr">
        <is>
          <t>System Binary Proxy Execution</t>
        </is>
      </c>
      <c r="D561" s="16" t="inlineStr">
        <is>
          <t>T1218.015</t>
        </is>
      </c>
      <c r="E561" s="16" t="inlineStr">
        <is>
          <t>Electron Applications</t>
        </is>
      </c>
      <c r="F561" s="16" t="inlineStr">
        <is>
          <t>Partial</t>
        </is>
      </c>
      <c r="G561" s="16" t="inlineStr">
        <is>
          <t>T1218 is a technique for indirect execution using signed system binaries in Windows/Linux/macOS environments, and because it targets traditional OS-based execution environments, it differs structurally in part from DID authentication systems. However, when DID microservices run in container environments built with Node.js, Python, etc., an attacker can disguise malicious code execution as normal API execution through trusted system commands or library loading mechanisms.
Structural relevance:
- DID Wallet (client): Low (no direct use of OS binaries).
- DID Agent / Verifier: Medium (system commands may be invoked from Node.js, Python, etc.).
- CredentialStatus API: Medium (may depend on local binaries for file verification/decoding).
- Containerized Microservice: High (possible indirect execution at the Entrypoint or in the runtime environment).</t>
        </is>
      </c>
      <c r="H561" s="16" t="inlineStr">
        <is>
          <t>1. Some container-based DID services may involve execution through calls to trusted system binaries or utilities; in that case, an attacker can abuse that path to insert malicious logic in a way that does not arouse suspicion.
2. bash, python, node, sh, etc. located in the Entrypoint can be used in the attack.</t>
        </is>
      </c>
      <c r="I561" s="16" t="inlineStr">
        <is>
          <t>Mostly off-chain environments, making detection with traditional methods difficult</t>
        </is>
      </c>
      <c r="J561" s="16" t="inlineStr">
        <is>
          <t>1. An allowlist-based execution policy must be specified for the utilities used inside the container (including binary execution).
2. Trusted modules or wrapper binaries need to separate the validation logic for data such as VCs, JWTs, and JSON and to include integrity-check logic.
3. Perform static integrity hash comparison for Entrypoint scripts or configuration files.
4. Apply strict input validation when using libraries that can invoke system commands (Python's os.system and subprocess, Node.js's child_process).</t>
        </is>
      </c>
      <c r="K561" s="16" t="n"/>
      <c r="L561" s="16" t="inlineStr">
        <is>
          <t>https://attack.mitre.org/techniques/T1218</t>
        </is>
      </c>
    </row>
    <row r="562" ht="23.85" customHeight="1" s="7">
      <c r="A562" s="16" t="inlineStr">
        <is>
          <t>Defense Evasion</t>
        </is>
      </c>
      <c r="B562" s="16" t="inlineStr">
        <is>
          <t>T1216</t>
        </is>
      </c>
      <c r="C562" s="16" t="inlineStr">
        <is>
          <t>System Script Proxy Execution</t>
        </is>
      </c>
      <c r="D562" s="16" t="inlineStr">
        <is>
          <t>T1216.001</t>
        </is>
      </c>
      <c r="E562" s="16" t="inlineStr">
        <is>
          <t>PubPrn</t>
        </is>
      </c>
      <c r="F562" s="16" t="inlineStr">
        <is>
          <t>No</t>
        </is>
      </c>
      <c r="G562" s="16" t="inlineStr">
        <is>
          <t>DID authentication systems mainly run on Linux-based containers and Node.js or Python runtimes, so direct relevance is low.</t>
        </is>
      </c>
      <c r="H562" s="16" t="inlineStr">
        <is>
          <t>-</t>
        </is>
      </c>
      <c r="I562" s="16" t="inlineStr">
        <is>
          <t>DID system</t>
        </is>
      </c>
      <c r="J562" s="16" t="inlineStr">
        <is>
          <t>-</t>
        </is>
      </c>
      <c r="K562" s="16" t="n"/>
      <c r="L562" s="16" t="inlineStr">
        <is>
          <t>https://attack.mitre.org/techniques/T1216</t>
        </is>
      </c>
    </row>
    <row r="563" ht="23.85" customHeight="1" s="7">
      <c r="A563" s="16" t="inlineStr">
        <is>
          <t>Defense Evasion</t>
        </is>
      </c>
      <c r="B563" s="16" t="inlineStr">
        <is>
          <t>T1216</t>
        </is>
      </c>
      <c r="C563" s="16" t="inlineStr">
        <is>
          <t>System Script Proxy Execution</t>
        </is>
      </c>
      <c r="D563" s="16" t="inlineStr">
        <is>
          <t>T1216.002</t>
        </is>
      </c>
      <c r="E563" s="16" t="inlineStr">
        <is>
          <t>SyncAppvPublishingServer</t>
        </is>
      </c>
      <c r="F563" s="16" t="inlineStr">
        <is>
          <t>No</t>
        </is>
      </c>
      <c r="G563" s="16" t="inlineStr">
        <is>
          <t>DID authentication systems mainly run on Linux-based containers and Node.js or Python runtimes, so direct relevance is low.</t>
        </is>
      </c>
      <c r="H563" s="16" t="inlineStr">
        <is>
          <t>-</t>
        </is>
      </c>
      <c r="I563" s="16" t="inlineStr">
        <is>
          <t>Based on unsigned .sh, .py, and .js files</t>
        </is>
      </c>
      <c r="J563" s="16" t="inlineStr">
        <is>
          <t>-</t>
        </is>
      </c>
      <c r="K563" s="16" t="n"/>
      <c r="L563" s="16" t="inlineStr">
        <is>
          <t>https://attack.mitre.org/techniques/T1216</t>
        </is>
      </c>
    </row>
    <row r="564" ht="57.45" customHeight="1" s="7">
      <c r="A564" s="16" t="inlineStr">
        <is>
          <t>Defense Evasion</t>
        </is>
      </c>
      <c r="B564" s="16" t="inlineStr">
        <is>
          <t>T1221</t>
        </is>
      </c>
      <c r="C564" s="16" t="inlineStr">
        <is>
          <t>Template Injection</t>
        </is>
      </c>
      <c r="D564" s="16" t="n"/>
      <c r="E564" s="16" t="n"/>
      <c r="F564" s="16" t="inlineStr">
        <is>
          <t>No</t>
        </is>
      </c>
      <c r="G564" s="16" t="inlineStr">
        <is>
          <t>Template Injection relies on manipulating XML/Rich Text in Microsoft Office file formats and is a technique specialized for document-based social engineering attacks. DID authentication systems structurally do not use Office files, and the VC issuance and verification flows contain no document-based authentication path such as .docx or .rtf.</t>
        </is>
      </c>
      <c r="H564" s="16" t="inlineStr">
        <is>
          <t>-</t>
        </is>
      </c>
      <c r="I564" s="16" t="inlineStr">
        <is>
          <t>From the perspective of a DID system</t>
        </is>
      </c>
      <c r="J564" s="16" t="inlineStr">
        <is>
          <t>-</t>
        </is>
      </c>
      <c r="K564" s="16" t="n"/>
      <c r="L564" s="16" t="inlineStr">
        <is>
          <t>https://attack.mitre.org/techniques/T1221</t>
        </is>
      </c>
    </row>
    <row r="565" ht="57.45" customHeight="1" s="7">
      <c r="A565" s="16" t="inlineStr">
        <is>
          <t>Defense Evasion</t>
        </is>
      </c>
      <c r="B565" s="16" t="inlineStr">
        <is>
          <t>T1205</t>
        </is>
      </c>
      <c r="C565" s="16" t="inlineStr">
        <is>
          <t>Traffic Signaling</t>
        </is>
      </c>
      <c r="D565" s="16" t="inlineStr">
        <is>
          <t>T1205.001</t>
        </is>
      </c>
      <c r="E565" s="16" t="inlineStr">
        <is>
          <t>Port Knocking</t>
        </is>
      </c>
      <c r="F565" s="16" t="inlineStr">
        <is>
          <t>No</t>
        </is>
      </c>
      <c r="G565" s="16" t="inlineStr">
        <is>
          <t>T1205 is a signal-based triggering technique operating mainly at the network traffic level and is fundamentally an OS- and network-device-level threat technique. Because DID authentication systems mostly use REST API- or WebSocket-based transaction processing, they have no direct network port signaling structure.</t>
        </is>
      </c>
      <c r="H565" s="16" t="inlineStr">
        <is>
          <t>-</t>
        </is>
      </c>
      <c r="I565" s="16" t="inlineStr">
        <is>
          <t>DID system</t>
        </is>
      </c>
      <c r="J565" s="16" t="inlineStr">
        <is>
          <t>-</t>
        </is>
      </c>
      <c r="K565" s="16" t="n"/>
      <c r="L565" s="16" t="inlineStr">
        <is>
          <t>https://attack.mitre.org/techniques/T1205</t>
        </is>
      </c>
    </row>
    <row r="566" ht="57.45" customHeight="1" s="7">
      <c r="A566" s="16" t="inlineStr">
        <is>
          <t>Defense Evasion</t>
        </is>
      </c>
      <c r="B566" s="16" t="inlineStr">
        <is>
          <t>T1205</t>
        </is>
      </c>
      <c r="C566" s="16" t="inlineStr">
        <is>
          <t>Traffic Signaling</t>
        </is>
      </c>
      <c r="D566" s="16" t="inlineStr">
        <is>
          <t>T1205.002</t>
        </is>
      </c>
      <c r="E566" s="16" t="inlineStr">
        <is>
          <t>Socket Filters</t>
        </is>
      </c>
      <c r="F566" s="16" t="inlineStr">
        <is>
          <t>No</t>
        </is>
      </c>
      <c r="G566" s="16" t="inlineStr">
        <is>
          <t>T1205 is a signal-based triggering technique operating mainly at the network traffic level and is fundamentally an OS- and network-device-level threat technique. Because DID authentication systems mostly use REST API- or WebSocket-based transaction processing, they have no direct network port signaling structure.</t>
        </is>
      </c>
      <c r="H566" s="16" t="inlineStr">
        <is>
          <t>-</t>
        </is>
      </c>
      <c r="I566" s="16" t="inlineStr">
        <is>
          <t>A process inside a container exposes an API when its execution conditions are met</t>
        </is>
      </c>
      <c r="J566" s="16" t="inlineStr">
        <is>
          <t>-</t>
        </is>
      </c>
      <c r="K566" s="16" t="n"/>
      <c r="L566" s="16" t="inlineStr">
        <is>
          <t>https://attack.mitre.org/techniques/T1205</t>
        </is>
      </c>
    </row>
    <row r="567" ht="35.05" customHeight="1" s="7">
      <c r="A567" s="16" t="inlineStr">
        <is>
          <t>Defense Evasion</t>
        </is>
      </c>
      <c r="B567" s="16" t="inlineStr">
        <is>
          <t>T1127</t>
        </is>
      </c>
      <c r="C567" s="16" t="inlineStr">
        <is>
          <t>Trusted Developer Utilities Proxy Execution</t>
        </is>
      </c>
      <c r="D567" s="16" t="inlineStr">
        <is>
          <t>T1127.001</t>
        </is>
      </c>
      <c r="E567" s="16" t="inlineStr">
        <is>
          <t>MSBuild</t>
        </is>
      </c>
      <c r="F567" s="16" t="inlineStr">
        <is>
          <t>No</t>
        </is>
      </c>
      <c r="G567" s="16" t="inlineStr">
        <is>
          <t>T1127 targets legitimate development tools (developer utilities) used in Windows environments and enables these tools, in their signed state, to proxy-execute malicious payloads.</t>
        </is>
      </c>
      <c r="H567" s="16" t="inlineStr">
        <is>
          <t>-</t>
        </is>
      </c>
      <c r="I567" s="16" t="inlineStr">
        <is>
          <t>DID system</t>
        </is>
      </c>
      <c r="J567" s="16" t="inlineStr">
        <is>
          <t>-</t>
        </is>
      </c>
      <c r="K567" s="16" t="n"/>
      <c r="L567" s="16" t="inlineStr">
        <is>
          <t>https://attack.mitre.org/techniques/T1127</t>
        </is>
      </c>
    </row>
    <row r="568" ht="35.05" customHeight="1" s="7">
      <c r="A568" s="16" t="inlineStr">
        <is>
          <t>Defense Evasion</t>
        </is>
      </c>
      <c r="B568" s="16" t="inlineStr">
        <is>
          <t>T1127</t>
        </is>
      </c>
      <c r="C568" s="16" t="inlineStr">
        <is>
          <t>Trusted Developer Utilities Proxy Execution</t>
        </is>
      </c>
      <c r="D568" s="16" t="inlineStr">
        <is>
          <t>T1127.002</t>
        </is>
      </c>
      <c r="E568" s="16" t="inlineStr">
        <is>
          <t>ClickOnce</t>
        </is>
      </c>
      <c r="F568" s="16" t="inlineStr">
        <is>
          <t>No</t>
        </is>
      </c>
      <c r="G568" s="16" t="inlineStr">
        <is>
          <t>T1127 targets legitimate development tools (developer utilities) used in Windows environments and enables these tools, in their signed state, to proxy-execute malicious payloads.</t>
        </is>
      </c>
      <c r="H568" s="16" t="inlineStr">
        <is>
          <t>-</t>
        </is>
      </c>
      <c r="I568" s="16" t="inlineStr">
        <is>
          <t>Serverless or container-based runtimes such as Node.js and Python</t>
        </is>
      </c>
      <c r="J568" s="16" t="inlineStr">
        <is>
          <t>-</t>
        </is>
      </c>
      <c r="K568" s="16" t="n"/>
      <c r="L568" s="16" t="inlineStr">
        <is>
          <t>https://attack.mitre.org/techniques/T1127</t>
        </is>
      </c>
    </row>
    <row r="569" ht="35.05" customHeight="1" s="7">
      <c r="A569" s="16" t="inlineStr">
        <is>
          <t>Defense Evasion</t>
        </is>
      </c>
      <c r="B569" s="16" t="inlineStr">
        <is>
          <t>T1127</t>
        </is>
      </c>
      <c r="C569" s="16" t="inlineStr">
        <is>
          <t>Trusted Developer Utilities Proxy Execution</t>
        </is>
      </c>
      <c r="D569" s="16" t="inlineStr">
        <is>
          <t>T1127.003</t>
        </is>
      </c>
      <c r="E569" s="16" t="inlineStr">
        <is>
          <t>JamPlus</t>
        </is>
      </c>
      <c r="F569" s="16" t="inlineStr">
        <is>
          <t>No</t>
        </is>
      </c>
      <c r="G569" s="16" t="inlineStr">
        <is>
          <t>T1127 targets legitimate development tools (developer utilities) used in Windows environments and enables these tools, in their signed state, to proxy-execute malicious payloads.</t>
        </is>
      </c>
      <c r="H569" s="16" t="inlineStr">
        <is>
          <t>-</t>
        </is>
      </c>
      <c r="I569" s="16" t="inlineStr">
        <is>
          <t>Data-driven attacks such as processing of externally supplied JSON and VC forgery or tampering</t>
        </is>
      </c>
      <c r="J569" s="16" t="inlineStr">
        <is>
          <t>-</t>
        </is>
      </c>
      <c r="K569" s="16" t="n"/>
      <c r="L569" s="16" t="inlineStr">
        <is>
          <t>https://attack.mitre.org/techniques/T1127</t>
        </is>
      </c>
    </row>
    <row r="570" ht="113.4" customHeight="1" s="7">
      <c r="A570" s="16" t="inlineStr">
        <is>
          <t>Defense Evasion</t>
        </is>
      </c>
      <c r="B570" s="16" t="inlineStr">
        <is>
          <t>T1535</t>
        </is>
      </c>
      <c r="C570" s="16" t="inlineStr">
        <is>
          <t>Unused/Unsupported Cloud Regions</t>
        </is>
      </c>
      <c r="D570" s="16" t="n"/>
      <c r="E570" s="16" t="n"/>
      <c r="F570" s="16" t="inlineStr">
        <is>
          <t>Partial</t>
        </is>
      </c>
      <c r="G570" s="16" t="inlineStr">
        <is>
          <t>When a DID authentication system is deployed in the cloud on Kubernetes, serverless, or IaaS VM environments, actual operation is limited to a specific region (ap-northeast-2). If an attacker uses a different, deactivated region to deploy malicious instances or to perform actions such as VC forgery, event log tampering, or status verification bypass, the attacker can establish a communication channel separate from the DID infrastructure.</t>
        </is>
      </c>
      <c r="H570" s="16" t="inlineStr">
        <is>
          <t>DID systems are also commonly deployed in specific regions in cloud environments, and unused regions are often excluded from monitoring; an attacker could create a malicious DID Agent, VC issuer, or CredentialStatus API in an unauthorized region and process forged VCs disguised as legitimate.</t>
        </is>
      </c>
      <c r="I570" s="16" t="inlineStr">
        <is>
          <t>DID system</t>
        </is>
      </c>
      <c r="J570" s="16" t="inlineStr">
        <is>
          <t>Configure all unused regions to be disabled in advance via the cloud console or Terraform; configure per-region execution policies and IP range restrictions for DID components (VP verifier, VC issuer, etc.); strengthen verification of metadata such as the issuer's region logs, IP address, and signer information for all VC request flows; apply cluster-tag/region-based audit logging when configuring the CredentialStatus API or DID Agent.</t>
        </is>
      </c>
      <c r="K570" s="16" t="n"/>
      <c r="L570" s="16" t="inlineStr">
        <is>
          <t>https://attack.mitre.org/techniques/T1535</t>
        </is>
      </c>
    </row>
    <row r="571" ht="113.4" customHeight="1" s="7">
      <c r="A571" s="16" t="inlineStr">
        <is>
          <t>Defense Evasion</t>
        </is>
      </c>
      <c r="B571" s="16" t="inlineStr">
        <is>
          <t>T1550</t>
        </is>
      </c>
      <c r="C571" s="16" t="inlineStr">
        <is>
          <t>Use Alternate Authentication Material</t>
        </is>
      </c>
      <c r="D571" s="16" t="inlineStr">
        <is>
          <t>T1550.001</t>
        </is>
      </c>
      <c r="E571" s="16" t="inlineStr">
        <is>
          <t>Application Access Token</t>
        </is>
      </c>
      <c r="F571" s="16" t="inlineStr">
        <is>
          <t>Partial</t>
        </is>
      </c>
      <c r="G571" s="16" t="inlineStr">
        <is>
          <t>DID authentication systems themselves maintain authentication using various alternate authentication materials such as session cookies, JWTs, OAuth2 tokens, and Verifiable Credentials (VCs). If an attacker steals VCs, JWTs, session tokens, etc., the attacker can bypass authentication without going through the original authentication procedure and can impersonate a trusted issuer or bypass status verification.</t>
        </is>
      </c>
      <c r="H571" s="16" t="inlineStr">
        <is>
          <t>DID systems also use alternate authentication materials such as VCs, JWTs, Access Tokens, and Refresh Tokens to maintain user identification across multiple requests; an attacker can steal tokens via browser local storage, memory, or man-in-the-middle (MITM) attacks in transit and reuse them to bypass authentication; in particular, verifiers that accept VCs or JWTs without integrity verification are easily exposed to attack.</t>
        </is>
      </c>
      <c r="I571" s="16" t="inlineStr">
        <is>
          <t>DID system</t>
        </is>
      </c>
      <c r="J571" s="16" t="inlineStr">
        <is>
          <t>Context information such as issuance time, expiration time (exp), audience, and nonce needs to be embedded in authentication tokens such as VCs and JWTs; consider applying usage binding (token binding) in addition to JWT/VC signature validation; introduce one-time-use VCs and nonce-based DID-auth flows to prevent token reuse; apply IP restrictions and issuer-scope restrictions where token-based calls exist, such as the CredentialStatus API.</t>
        </is>
      </c>
      <c r="K571" s="16" t="n"/>
      <c r="L571" s="16" t="inlineStr">
        <is>
          <t>https://attack.mitre.org/techniques/T1550</t>
        </is>
      </c>
    </row>
    <row r="572" ht="113.4" customHeight="1" s="7">
      <c r="A572" s="16" t="inlineStr">
        <is>
          <t>Defense Evasion</t>
        </is>
      </c>
      <c r="B572" s="16" t="inlineStr">
        <is>
          <t>T1550</t>
        </is>
      </c>
      <c r="C572" s="16" t="inlineStr">
        <is>
          <t>Use Alternate Authentication Material</t>
        </is>
      </c>
      <c r="D572" s="16" t="inlineStr">
        <is>
          <t>T1550.002</t>
        </is>
      </c>
      <c r="E572" s="16" t="inlineStr">
        <is>
          <t>Pass the Hash</t>
        </is>
      </c>
      <c r="F572" s="16" t="inlineStr">
        <is>
          <t>Partial</t>
        </is>
      </c>
      <c r="G572" s="16" t="inlineStr">
        <is>
          <t>DID authentication systems themselves maintain authentication using various alternate authentication materials such as session cookies, JWTs, OAuth2 tokens, and Verifiable Credentials (VCs). If an attacker steals VCs, JWTs, session tokens, etc., the attacker can bypass authentication without going through the original authentication procedure and can impersonate a trusted issuer or bypass status verification.</t>
        </is>
      </c>
      <c r="H572" s="16" t="inlineStr">
        <is>
          <t>DID systems also use alternate authentication materials such as VCs, JWTs, Access Tokens, and Refresh Tokens to maintain user identification across multiple requests; an attacker can steal tokens via browser local storage, memory, or man-in-the-middle (MITM) attacks in transit and reuse them to bypass authentication; in particular, verifiers that accept VCs or JWTs without integrity verification are easily exposed to attack.</t>
        </is>
      </c>
      <c r="I572" s="16" t="inlineStr">
        <is>
          <t>JWTs, OAuth2 Access Tokens, VC signature bodies</t>
        </is>
      </c>
      <c r="J572" s="16" t="inlineStr">
        <is>
          <t>Context information such as issuance time, expiration time (exp), audience, and nonce needs to be embedded in authentication tokens such as VCs and JWTs; consider applying usage binding (token binding) in addition to JWT/VC signature validation; introduce one-time-use VCs and nonce-based DID-auth flows to prevent token reuse; apply IP restrictions and issuer-scope restrictions where token-based calls exist, such as the CredentialStatus API.</t>
        </is>
      </c>
      <c r="K572" s="16" t="n"/>
      <c r="L572" s="16" t="inlineStr">
        <is>
          <t>https://attack.mitre.org/techniques/T1550</t>
        </is>
      </c>
    </row>
    <row r="573" ht="113.4" customHeight="1" s="7">
      <c r="A573" s="16" t="inlineStr">
        <is>
          <t>Defense Evasion</t>
        </is>
      </c>
      <c r="B573" s="16" t="inlineStr">
        <is>
          <t>T1550</t>
        </is>
      </c>
      <c r="C573" s="16" t="inlineStr">
        <is>
          <t>Use Alternate Authentication Material</t>
        </is>
      </c>
      <c r="D573" s="16" t="inlineStr">
        <is>
          <t>T1550.003</t>
        </is>
      </c>
      <c r="E573" s="16" t="inlineStr">
        <is>
          <t>Pass the Ticket</t>
        </is>
      </c>
      <c r="F573" s="16" t="inlineStr">
        <is>
          <t>Partial</t>
        </is>
      </c>
      <c r="G573" s="16" t="inlineStr">
        <is>
          <t>DID authentication systems themselves maintain authentication using various alternate authentication materials such as session cookies, JWTs, OAuth2 tokens, and Verifiable Credentials (VCs). If an attacker steals VCs, JWTs, session tokens, etc., the attacker can bypass authentication without going through the original authentication procedure and can impersonate a trusted issuer or bypass status verification.</t>
        </is>
      </c>
      <c r="H573" s="16" t="inlineStr">
        <is>
          <t>DID systems also use alternate authentication materials such as VCs, JWTs, Access Tokens, and Refresh Tokens to maintain user identification across multiple requests; an attacker can steal tokens via browser local storage, memory, or man-in-the-middle (MITM) attacks in transit and reuse them to bypass authentication; in particular, verifiers that accept VCs or JWTs without integrity verification are easily exposed to attack.</t>
        </is>
      </c>
      <c r="I573" s="16" t="inlineStr">
        <is>
          <t>Authentication bypass, acceptance of forged VCs, status verification bypass</t>
        </is>
      </c>
      <c r="J573" s="16" t="inlineStr">
        <is>
          <t>Context information such as issuance time, expiration time (exp), audience, and nonce needs to be embedded in authentication tokens such as VCs and JWTs; consider applying usage binding (token binding) in addition to JWT/VC signature validation; introduce one-time-use VCs and nonce-based DID-auth flows to prevent token reuse; apply IP restrictions and issuer-scope restrictions where token-based calls exist, such as the CredentialStatus API.</t>
        </is>
      </c>
      <c r="K573" s="16" t="n"/>
      <c r="L573" s="16" t="inlineStr">
        <is>
          <t>https://attack.mitre.org/techniques/T1550</t>
        </is>
      </c>
    </row>
    <row r="574" ht="113.4" customHeight="1" s="7">
      <c r="A574" s="16" t="inlineStr">
        <is>
          <t>Defense Evasion</t>
        </is>
      </c>
      <c r="B574" s="16" t="inlineStr">
        <is>
          <t>T1550</t>
        </is>
      </c>
      <c r="C574" s="16" t="inlineStr">
        <is>
          <t>Use Alternate Authentication Material</t>
        </is>
      </c>
      <c r="D574" s="16" t="inlineStr">
        <is>
          <t>T1550.004</t>
        </is>
      </c>
      <c r="E574" s="16" t="inlineStr">
        <is>
          <t>Web Session Cookie</t>
        </is>
      </c>
      <c r="F574" s="16" t="inlineStr">
        <is>
          <t>Partial</t>
        </is>
      </c>
      <c r="G574" s="16" t="inlineStr">
        <is>
          <t>DID authentication systems themselves maintain authentication using various alternate authentication materials such as session cookies, JWTs, OAuth2 tokens, and Verifiable Credentials (VCs). If an attacker steals VCs, JWTs, session tokens, etc., the attacker can bypass authentication without going through the original authentication procedure and can impersonate a trusted issuer or bypass status verification.</t>
        </is>
      </c>
      <c r="H574" s="16" t="inlineStr">
        <is>
          <t>DID systems also use alternate authentication materials such as VCs, JWTs, Access Tokens, and Refresh Tokens to maintain user identification across multiple requests; an attacker can steal tokens via browser local storage, memory, or man-in-the-middle (MITM) attacks in transit and reuse them to bypass authentication; in particular, verifiers that accept VCs or JWTs without integrity verification are easily exposed to attack.</t>
        </is>
      </c>
      <c r="I574" s="16" t="inlineStr">
        <is>
          <t>DID Wallet local storage, browser Storage, memory cache</t>
        </is>
      </c>
      <c r="J574" s="16" t="inlineStr">
        <is>
          <t>Context information such as issuance time, expiration time (exp), audience, and nonce needs to be embedded in authentication tokens such as VCs and JWTs; consider applying usage binding (token binding) in addition to JWT/VC signature validation; introduce one-time-use VCs and nonce-based DID-auth flows to prevent token reuse; apply IP restrictions and issuer-scope restrictions where token-based calls exist, such as the CredentialStatus API.</t>
        </is>
      </c>
      <c r="K574" s="16" t="n"/>
      <c r="L574" s="16" t="inlineStr">
        <is>
          <t>https://attack.mitre.org/techniques/T1550</t>
        </is>
      </c>
    </row>
    <row r="575" ht="147" customHeight="1" s="7">
      <c r="A575" s="16" t="inlineStr">
        <is>
          <t>Defense Evasion</t>
        </is>
      </c>
      <c r="B575" s="16" t="inlineStr">
        <is>
          <t>T1078</t>
        </is>
      </c>
      <c r="C575" s="16" t="inlineStr">
        <is>
          <t>Valid Accounts</t>
        </is>
      </c>
      <c r="D575" s="16" t="inlineStr">
        <is>
          <t>T1078.001</t>
        </is>
      </c>
      <c r="E575" s="16" t="inlineStr">
        <is>
          <t>Default Accounts</t>
        </is>
      </c>
      <c r="F575" s="16" t="inlineStr">
        <is>
          <t>Full</t>
        </is>
      </c>
      <c r="G575" s="16" t="inlineStr">
        <is>
          <t>Although DID authentication systems have a decentralized identity-based structure, internally they have account systems for VC issuers, verifiers, administrators, etc., and cloud-based deployment systems, API access rights, and container access rights still often rely on traditional account-based access control. Therefore, if an attacker takes over a valid VC issuer or verifier account, the attacker can undermine the trust framework most covertly, and in partially delegated structures that are not fully decentralized, as is characteristic of DID systems, this threat has a very large real-world impact.</t>
        </is>
      </c>
      <c r="H575" s="16" t="inlineStr">
        <is>
          <t>DID authentication systems also have account-based authentication flows for VC issuers/verifiers or operational structures based on API Keys / IAM accounts; if an attacker steals a valid administrator account or API key, the attacker can manipulate the entire authentication system without additional malicious code or tools; VC forgery, status tampering, issuance of forged DID documents, etc. can occur undetected in off-chain flows.</t>
        </is>
      </c>
      <c r="I575" s="16" t="inlineStr">
        <is>
          <t>DID system</t>
        </is>
      </c>
      <c r="J575" s="16" t="inlineStr">
        <is>
          <t>Apply the IAM role-based least-privilege principle to VC issuance and verification rights and separate dedicated issuance/verification accounts; monitor account usage history (login time, IP, region, service call history) in real time and introduce anomaly analysis; in cloud environments (GCP, AWS, Azure), disable unused default accounts/default API keys; for access based on API Keys or session tokens, apply short-lived tokens and a periodic reissuance policy; apply automatic deactivation/revocation policies to dormant accounts and accounts of departed employees.</t>
        </is>
      </c>
      <c r="K575" s="16" t="n"/>
      <c r="L575" s="16" t="inlineStr">
        <is>
          <t>https://attack.mitre.org/techniques/T1078</t>
        </is>
      </c>
    </row>
    <row r="576" ht="147" customHeight="1" s="7">
      <c r="A576" s="16" t="inlineStr">
        <is>
          <t>Defense Evasion</t>
        </is>
      </c>
      <c r="B576" s="16" t="inlineStr">
        <is>
          <t>T1078</t>
        </is>
      </c>
      <c r="C576" s="16" t="inlineStr">
        <is>
          <t>Valid Accounts</t>
        </is>
      </c>
      <c r="D576" s="16" t="inlineStr">
        <is>
          <t>T1078.002</t>
        </is>
      </c>
      <c r="E576" s="16" t="inlineStr">
        <is>
          <t>Domain Accounts</t>
        </is>
      </c>
      <c r="F576" s="16" t="inlineStr">
        <is>
          <t>Full</t>
        </is>
      </c>
      <c r="G576" s="16" t="inlineStr">
        <is>
          <t>Although DID authentication systems have a decentralized identity-based structure, internally they have account systems for VC issuers, verifiers, administrators, etc., and cloud-based deployment systems, API access rights, and container access rights still often rely on traditional account-based access control. Therefore, if an attacker takes over a valid VC issuer or verifier account, the attacker can undermine the trust framework most covertly, and in partially delegated structures that are not fully decentralized, as is characteristic of DID systems, this threat has a very large real-world impact.</t>
        </is>
      </c>
      <c r="H576" s="16" t="inlineStr">
        <is>
          <t>DID authentication systems also have account-based authentication flows for VC issuers/verifiers or operational structures based on API Keys / IAM accounts; if an attacker steals a valid administrator account or API key, the attacker can manipulate the entire authentication system without additional malicious code or tools; VC forgery, status tampering, issuance of forged DID documents, etc. can occur undetected in off-chain flows.</t>
        </is>
      </c>
      <c r="I576" s="16" t="inlineStr">
        <is>
          <t>VC issuer/verifier accounts, API key-based service accounts, operator authentication tokens</t>
        </is>
      </c>
      <c r="J576" s="16" t="inlineStr">
        <is>
          <t>Apply the IAM role-based least-privilege principle to VC issuance and verification rights and separate dedicated issuance/verification accounts; monitor account usage history (login time, IP, region, service call history) in real time and introduce anomaly analysis; in cloud environments (GCP, AWS, Azure), disable unused default accounts/default API keys; for access based on API Keys or session tokens, apply short-lived tokens and a periodic reissuance policy; apply automatic deactivation/revocation policies to dormant accounts and accounts of departed employees.</t>
        </is>
      </c>
      <c r="K576" s="16" t="n"/>
      <c r="L576" s="16" t="inlineStr">
        <is>
          <t>https://attack.mitre.org/techniques/T1078</t>
        </is>
      </c>
    </row>
    <row r="577" ht="147" customHeight="1" s="7">
      <c r="A577" s="16" t="inlineStr">
        <is>
          <t>Defense Evasion</t>
        </is>
      </c>
      <c r="B577" s="16" t="inlineStr">
        <is>
          <t>T1078</t>
        </is>
      </c>
      <c r="C577" s="16" t="inlineStr">
        <is>
          <t>Valid Accounts</t>
        </is>
      </c>
      <c r="D577" s="16" t="inlineStr">
        <is>
          <t>T1078.003</t>
        </is>
      </c>
      <c r="E577" s="16" t="inlineStr">
        <is>
          <t>Local Accounts</t>
        </is>
      </c>
      <c r="F577" s="16" t="inlineStr">
        <is>
          <t>Full</t>
        </is>
      </c>
      <c r="G577" s="16" t="inlineStr">
        <is>
          <t>Although DID authentication systems have a decentralized identity-based structure, internally they have account systems for VC issuers, verifiers, administrators, etc., and cloud-based deployment systems, API access rights, and container access rights still often rely on traditional account-based access control. Therefore, if an attacker takes over a valid VC issuer or verifier account, the attacker can undermine the trust framework most covertly, and in partially delegated structures that are not fully decentralized, as is characteristic of DID systems, this threat has a very large real-world impact.</t>
        </is>
      </c>
      <c r="H577" s="16" t="inlineStr">
        <is>
          <t>DID authentication systems also have account-based authentication flows for VC issuers/verifiers or operational structures based on API Keys / IAM accounts; if an attacker steals a valid administrator account or API key, the attacker can manipulate the entire authentication system without additional malicious code or tools; VC forgery, status tampering, issuance of forged DID documents, etc. can occur undetected in off-chain flows.</t>
        </is>
      </c>
      <c r="I577" s="16" t="inlineStr">
        <is>
          <t>Stolen API Keys, OAuth2 Tokens, Kubeconfig, GCP IAM keys</t>
        </is>
      </c>
      <c r="J577" s="16" t="inlineStr">
        <is>
          <t>Apply the IAM role-based least-privilege principle to VC issuance and verification rights and separate dedicated issuance/verification accounts; monitor account usage history (login time, IP, region, service call history) in real time and introduce anomaly analysis; in cloud environments (GCP, AWS, Azure), disable unused default accounts/default API keys; for access based on API Keys or session tokens, apply short-lived tokens and a periodic reissuance policy; apply automatic deactivation/revocation policies to dormant accounts and accounts of departed employees.</t>
        </is>
      </c>
      <c r="K577" s="16" t="n"/>
      <c r="L577" s="16" t="inlineStr">
        <is>
          <t>https://attack.mitre.org/techniques/T1078</t>
        </is>
      </c>
    </row>
    <row r="578" ht="147" customHeight="1" s="7">
      <c r="A578" s="16" t="inlineStr">
        <is>
          <t>Defense Evasion</t>
        </is>
      </c>
      <c r="B578" s="16" t="inlineStr">
        <is>
          <t>T1078</t>
        </is>
      </c>
      <c r="C578" s="16" t="inlineStr">
        <is>
          <t>Valid Accounts</t>
        </is>
      </c>
      <c r="D578" s="16" t="inlineStr">
        <is>
          <t>T1078.004</t>
        </is>
      </c>
      <c r="E578" s="16" t="inlineStr">
        <is>
          <t>Cloud Accounts</t>
        </is>
      </c>
      <c r="F578" s="16" t="inlineStr">
        <is>
          <t>Full</t>
        </is>
      </c>
      <c r="G578" s="16" t="inlineStr">
        <is>
          <t>Although DID authentication systems have a decentralized identity-based structure, internally they have account systems for VC issuers, verifiers, administrators, etc., and cloud-based deployment systems, API access rights, and container access rights still often rely on traditional account-based access control. Therefore, if an attacker takes over a valid VC issuer or verifier account, the attacker can undermine the trust framework most covertly, and in partially delegated structures that are not fully decentralized, as is characteristic of DID systems, this threat has a very large real-world impact.</t>
        </is>
      </c>
      <c r="H578" s="16" t="inlineStr">
        <is>
          <t>DID authentication systems also have account-based authentication flows for VC issuers/verifiers or operational structures based on API Keys / IAM accounts; if an attacker steals a valid administrator account or API key, the attacker can manipulate the entire authentication system without additional malicious code or tools; VC forgery, status tampering, issuance of forged DID documents, etc. can occur undetected in off-chain flows.</t>
        </is>
      </c>
      <c r="I578" s="16" t="inlineStr">
        <is>
          <t>VC issuers, verification APIs, log verifiers, status management servers, etc.</t>
        </is>
      </c>
      <c r="J578" s="16" t="inlineStr">
        <is>
          <t>Apply the IAM role-based least-privilege principle to VC issuance and verification rights and separate dedicated issuance/verification accounts; monitor account usage history (login time, IP, region, service call history) in real time and introduce anomaly analysis; in cloud environments (GCP, AWS, Azure), disable unused default accounts/default API keys; for access based on API Keys or session tokens, apply short-lived tokens and a periodic reissuance policy; apply automatic deactivation/revocation policies to dormant accounts and accounts of departed employees.</t>
        </is>
      </c>
      <c r="K578" s="16" t="n"/>
      <c r="L578" s="16" t="inlineStr">
        <is>
          <t>https://attack.mitre.org/techniques/T1078</t>
        </is>
      </c>
    </row>
    <row r="579" ht="147" customHeight="1" s="7">
      <c r="A579" s="16" t="inlineStr">
        <is>
          <t>Defense Evasion</t>
        </is>
      </c>
      <c r="B579" s="16" t="inlineStr">
        <is>
          <t>T1497</t>
        </is>
      </c>
      <c r="C579" s="16" t="inlineStr">
        <is>
          <t>Virtualization/Sandbox Evasion</t>
        </is>
      </c>
      <c r="D579" s="16" t="inlineStr">
        <is>
          <t>T1497.001</t>
        </is>
      </c>
      <c r="E579" s="16" t="inlineStr">
        <is>
          <t>System Checks</t>
        </is>
      </c>
      <c r="F579" s="16" t="inlineStr">
        <is>
          <t>Partial</t>
        </is>
      </c>
      <c r="G579" s="16" t="inlineStr">
        <is>
          <t>Although DID authentication systems are structurally different from traditional file-based execution environments, their verification logic consists of serverless functions and Python/Node.js-based microservices, so conditional execution logic may be included for traffic replay or simulation environments used for analysis; to evade analysis, an attacker could design the logic to halt execution or mimic normal flow when the VC requester's DID or the VC structure is abnormal.</t>
        </is>
      </c>
      <c r="H579" s="16" t="inlineStr">
        <is>
          <t>An attacker may operate a forged VC issuer/verifier and halt execution or return harmless responses when an analysis environment or test VC input is detected; if the DID of a VC request is a test-only account or a well-known debug DID, it may return different results or delay execution; to evade analysis environments, it may learn normal users' request patterns (time, browser, User-Agent, etc.) and perform conditional behavior accordingly.</t>
        </is>
      </c>
      <c r="I579" s="16" t="inlineStr">
        <is>
          <t>DID system</t>
        </is>
      </c>
      <c r="J579" s="16" t="inlineStr">
        <is>
          <t>The input validation logic of VC issuers/verifiers must be designed so that it cannot be abused as a conditional execution trigger; standardization is needed so that detection of test VCs, debugging DIDs, and anomalous HTTP headers (User-Agent, Origin, etc.) does not block normal execution; when forged requests are detected based on the VC's internal structure, field order, field names, etc., apply consistent, separated standard validation logic; strengthen code visibility so that no delayed execution or inactive-response logic for evading analysis environments exists.</t>
        </is>
      </c>
      <c r="K579" s="16" t="n"/>
      <c r="L579" s="16" t="inlineStr">
        <is>
          <t>https://attack.mitre.org/techniques/T1497</t>
        </is>
      </c>
    </row>
    <row r="580" ht="147" customHeight="1" s="7">
      <c r="A580" s="16" t="inlineStr">
        <is>
          <t>Defense Evasion</t>
        </is>
      </c>
      <c r="B580" s="16" t="inlineStr">
        <is>
          <t>T1497</t>
        </is>
      </c>
      <c r="C580" s="16" t="inlineStr">
        <is>
          <t>Virtualization/Sandbox Evasion</t>
        </is>
      </c>
      <c r="D580" s="16" t="inlineStr">
        <is>
          <t>T1497.002</t>
        </is>
      </c>
      <c r="E580" s="16" t="inlineStr">
        <is>
          <t>User Activity Based Checks</t>
        </is>
      </c>
      <c r="F580" s="16" t="inlineStr">
        <is>
          <t>Partial</t>
        </is>
      </c>
      <c r="G580" s="16" t="inlineStr">
        <is>
          <t>Although DID authentication systems are structurally different from traditional file-based execution environments, their verification logic consists of serverless functions and Python/Node.js-based microservices, so conditional execution logic may be included for traffic replay or simulation environments used for analysis; to evade analysis, an attacker could design the logic to halt execution or mimic normal flow when the VC requester's DID or the VC structure is abnormal.</t>
        </is>
      </c>
      <c r="H580" s="16" t="inlineStr">
        <is>
          <t>An attacker may operate a forged VC issuer/verifier and halt execution or return harmless responses when an analysis environment or test VC input is detected; if the DID of a VC request is a test-only account or a well-known debug DID, it may return different results or delay execution; to evade analysis environments, it may learn normal users' request patterns (time, browser, User-Agent, etc.) and perform conditional behavior accordingly.</t>
        </is>
      </c>
      <c r="I580" s="16" t="inlineStr">
        <is>
          <t>The VC requester's DID, structure, signer, HTTP header information, anomalous access logs, etc.</t>
        </is>
      </c>
      <c r="J580" s="16" t="inlineStr">
        <is>
          <t>The input validation logic of VC issuers/verifiers must be designed so that it cannot be abused as a conditional execution trigger; standardization is needed so that detection of test VCs, debugging DIDs, and anomalous HTTP headers (User-Agent, Origin, etc.) does not block normal execution; when forged requests are detected based on the VC's internal structure, field order, field names, etc., apply consistent, separated standard validation logic; strengthen code visibility so that no delayed execution or inactive-response logic for evading analysis environments exists.</t>
        </is>
      </c>
      <c r="K580" s="16" t="n"/>
      <c r="L580" s="16" t="inlineStr">
        <is>
          <t>https://attack.mitre.org/techniques/T1497</t>
        </is>
      </c>
    </row>
    <row r="581" ht="147" customHeight="1" s="7">
      <c r="A581" s="16" t="inlineStr">
        <is>
          <t>Defense Evasion</t>
        </is>
      </c>
      <c r="B581" s="16" t="inlineStr">
        <is>
          <t>T1497</t>
        </is>
      </c>
      <c r="C581" s="16" t="inlineStr">
        <is>
          <t>Virtualization/Sandbox Evasion</t>
        </is>
      </c>
      <c r="D581" s="16" t="inlineStr">
        <is>
          <t>T1497.003</t>
        </is>
      </c>
      <c r="E581" s="16" t="inlineStr">
        <is>
          <t>Time Based Evasion</t>
        </is>
      </c>
      <c r="F581" s="16" t="inlineStr">
        <is>
          <t>Partial</t>
        </is>
      </c>
      <c r="G581" s="16" t="inlineStr">
        <is>
          <t>Although DID authentication systems are structurally different from traditional file-based execution environments, their verification logic consists of serverless functions and Python/Node.js-based microservices, so conditional execution logic may be included for traffic replay or simulation environments used for analysis; to evade analysis, an attacker could design the logic to halt execution or mimic normal flow when the VC requester's DID or the VC structure is abnormal.</t>
        </is>
      </c>
      <c r="H581" s="16" t="inlineStr">
        <is>
          <t>An attacker may operate a forged VC issuer/verifier and halt execution or return harmless responses when an analysis environment or test VC input is detected; if the DID of a VC request is a test-only account or a well-known debug DID, it may return different results or delay execution; to evade analysis environments, it may learn normal users' request patterns (time, browser, User-Agent, etc.) and perform conditional behavior accordingly.</t>
        </is>
      </c>
      <c r="I581" s="16" t="inlineStr">
        <is>
          <t>Whether the user authentication flow matches, whether a normal VC flow is replayed, whether traffic is periodic, etc.</t>
        </is>
      </c>
      <c r="J581" s="16" t="inlineStr">
        <is>
          <t>The input validation logic of VC issuers/verifiers must be designed so that it cannot be abused as a conditional execution trigger; standardization is needed so that detection of test VCs, debugging DIDs, and anomalous HTTP headers (User-Agent, Origin, etc.) does not block normal execution; when forged requests are detected based on the VC's internal structure, field order, field names, etc., apply consistent, separated standard validation logic; strengthen code visibility so that no delayed execution or inactive-response logic for evading analysis environments exists.</t>
        </is>
      </c>
      <c r="K581" s="16" t="n"/>
      <c r="L581" s="16" t="inlineStr">
        <is>
          <t>https://attack.mitre.org/techniques/T1497</t>
        </is>
      </c>
    </row>
    <row r="582" ht="135.8" customHeight="1" s="7">
      <c r="A582" s="16" t="inlineStr">
        <is>
          <t>Defense Evasion</t>
        </is>
      </c>
      <c r="B582" s="16" t="inlineStr">
        <is>
          <t>T1600</t>
        </is>
      </c>
      <c r="C582" s="16" t="inlineStr">
        <is>
          <t>Weaken Encryption</t>
        </is>
      </c>
      <c r="D582" s="16" t="inlineStr">
        <is>
          <t>T1600.001</t>
        </is>
      </c>
      <c r="E582" s="16" t="inlineStr">
        <is>
          <t>Reduce Key Space</t>
        </is>
      </c>
      <c r="F582" s="16" t="inlineStr">
        <is>
          <t>Partial</t>
        </is>
      </c>
      <c r="G582" s="16" t="inlineStr">
        <is>
          <t>DID authentication systems fundamentally use various cryptographic mechanisms, such as VC signatures, JWT tokens, HTTPS communication, and JWT-LD encryption structures, to ensure trust and confidentiality. Direct use of hardware-based cryptographic devices is limited, but threat scenarios can arise when VC signature algorithms (ECDSA, RSA, etc.) are deliberately issued with weak algorithms or short key lengths, when the CredentialStatus API or DID Document is served over HTTP instead of HTTPS or without encryption, when issuer key pairs (private/public keys) are poorly managed or incompletely rotated, or when a weak random number generator is used.</t>
        </is>
      </c>
      <c r="H582" s="16" t="inlineStr">
        <is>
          <t>DID systems also maintain their authentication structure on a cryptographic basis, and changes to key length/algorithm can affect the entire framework; if an attacker weakens the signature algorithm or applies insufficient cryptographic protection during VC issuance, the integrity of the entire DID ecosystem can be affected; when encryption is bypassed or a weakened DID Document is served, trust can be forged based on a forged key binding structure.</t>
        </is>
      </c>
      <c r="I582" s="16" t="inlineStr">
        <is>
          <t>DID system</t>
        </is>
      </c>
      <c r="J582" s="16" t="inlineStr">
        <is>
          <t>Use signature algorithms and key lengths at or above FIPS or NIST recommended levels for all VCs and JWTs (e.g., ECDSA P-256 or higher); evaluate random number generator quality in the issuer's key generation logic and introduce periodic key rotation logic; apply HTTPS and HSTS to the CredentialStatus API and DID Documents and prohibit plaintext or weak encryption; add detection logic to verifiers that analyzes VC metadata and signature fields to detect abnormally short key lengths and suspicious algorithms.</t>
        </is>
      </c>
      <c r="K582" s="16" t="n"/>
      <c r="L582" s="16" t="inlineStr">
        <is>
          <t>https://attack.mitre.org/techniques/T1600</t>
        </is>
      </c>
    </row>
    <row r="583" ht="135.8" customHeight="1" s="7">
      <c r="A583" s="16" t="inlineStr">
        <is>
          <t>Defense Evasion</t>
        </is>
      </c>
      <c r="B583" s="16" t="inlineStr">
        <is>
          <t>T1600</t>
        </is>
      </c>
      <c r="C583" s="16" t="inlineStr">
        <is>
          <t>Weaken Encryption</t>
        </is>
      </c>
      <c r="D583" s="16" t="inlineStr">
        <is>
          <t>T1600.002</t>
        </is>
      </c>
      <c r="E583" s="16" t="inlineStr">
        <is>
          <t>Disable Crypto Hardware</t>
        </is>
      </c>
      <c r="F583" s="16" t="inlineStr">
        <is>
          <t>Partial</t>
        </is>
      </c>
      <c r="G583" s="16" t="inlineStr">
        <is>
          <t>DID authentication systems fundamentally use various cryptographic mechanisms, such as VC signatures, JWT tokens, HTTPS communication, and JWT-LD encryption structures, to ensure trust and confidentiality. Direct use of hardware-based cryptographic devices is limited, but threat scenarios can arise when VC signature algorithms (ECDSA, RSA, etc.) are deliberately issued with weak algorithms or short key lengths, when the CredentialStatus API or DID Document is served over HTTP instead of HTTPS or without encryption, when issuer key pairs (private/public keys) are poorly managed or incompletely rotated, or when a weak random number generator is used.</t>
        </is>
      </c>
      <c r="H583" s="16" t="inlineStr">
        <is>
          <t>DID systems also maintain their authentication structure on a cryptographic basis, and changes to key length/algorithm can affect the entire framework; if an attacker weakens the signature algorithm or applies insufficient cryptographic protection during VC issuance, the integrity of the entire DID ecosystem can be affected; when encryption is bypassed or a weakened DID Document is served, trust can be forged based on a forged key binding structure.</t>
        </is>
      </c>
      <c r="I583" s="16" t="inlineStr">
        <is>
          <t>Use of short key lengths, adoption of non-recommended signature algorithms (e.g., ECDSA P-192), weak nonces/hashes</t>
        </is>
      </c>
      <c r="J583" s="16" t="inlineStr">
        <is>
          <t>Use signature algorithms and key lengths at or above FIPS or NIST recommended levels for all VCs and JWTs (e.g., ECDSA P-256 or higher); evaluate random number generator quality in the issuer's key generation logic and introduce periodic key rotation logic; apply HTTPS and HSTS to the CredentialStatus API and DID Documents and prohibit plaintext or weak encryption; add detection logic to verifiers that analyzes VC metadata and signature fields to detect abnormally short key lengths and suspicious algorithms.</t>
        </is>
      </c>
      <c r="K583" s="16" t="n"/>
      <c r="L583" s="16" t="inlineStr">
        <is>
          <t>https://attack.mitre.org/techniques/T1600</t>
        </is>
      </c>
    </row>
    <row r="584" ht="68.65000000000001" customHeight="1" s="7">
      <c r="A584" s="16" t="inlineStr">
        <is>
          <t>Defense Evasion</t>
        </is>
      </c>
      <c r="B584" s="16" t="inlineStr">
        <is>
          <t>T1220</t>
        </is>
      </c>
      <c r="C584" s="16" t="inlineStr">
        <is>
          <t>XSL Script Processing</t>
        </is>
      </c>
      <c r="D584" s="16" t="n"/>
      <c r="E584" s="16" t="inlineStr">
        <is>
          <t>XSL Script Processing</t>
        </is>
      </c>
      <c r="F584" s="16" t="inlineStr">
        <is>
          <t>No</t>
        </is>
      </c>
      <c r="G584" s="16" t="inlineStr">
        <is>
          <t>T1220 is an attack that abuses the XSL rendering and script execution features of the Windows OS environment and uses local command-line execution tools such as msxsl.exe or wmic.exe. Because DID authentication systems mainly operate in cloud-native environments, serverless architectures, or browser-based authentication workflows, such local execution-based script processing mechanisms do not exist.</t>
        </is>
      </c>
      <c r="H584" s="16" t="inlineStr">
        <is>
          <t>-</t>
        </is>
      </c>
      <c r="I584" s="16" t="inlineStr">
        <is>
          <t>DID system</t>
        </is>
      </c>
      <c r="J584" s="16" t="inlineStr">
        <is>
          <t>-</t>
        </is>
      </c>
      <c r="K584" s="16" t="inlineStr">
        <is>
          <t>"XSL Script Processing" is not a v17 sub-technique of T1220; kept as analyzed</t>
        </is>
      </c>
      <c r="L584" s="16" t="inlineStr">
        <is>
          <t>https://attack.mitre.org/techniques/T1220</t>
        </is>
      </c>
    </row>
    <row r="585" ht="79.84999999999999" customHeight="1" s="7">
      <c r="A585" s="16" t="inlineStr">
        <is>
          <t>Impact</t>
        </is>
      </c>
      <c r="B585" s="16" t="inlineStr">
        <is>
          <t>T1531</t>
        </is>
      </c>
      <c r="C585" s="16" t="inlineStr">
        <is>
          <t>Account Access Removal</t>
        </is>
      </c>
      <c r="D585" s="16" t="n"/>
      <c r="E585" s="16" t="n"/>
      <c r="F585" s="16" t="inlineStr">
        <is>
          <t>Partial</t>
        </is>
      </c>
      <c r="G585" s="16" t="inlineStr">
        <is>
          <t>Deletion or modification of account access rights is equally a threat to the trusted entities of DID/VC systems (issuers, verifiers, users, etc.). However, because the DID environment has a distributed structure and recoverability, it may not be as critical as in conventional IT environments. Changes to trusted entities' privileges, account deactivation, DID revocation, etc. can lead to denial of service or collapse of trust.</t>
        </is>
      </c>
      <c r="H585" s="16" t="inlineStr">
        <is>
          <t>If an attacker deletes or modifies account privileges, real damage such as denial of service and collapse of the trust framework occurs. Privilege change events must be tracked and a recovery process must be operated.</t>
        </is>
      </c>
      <c r="I585" s="16" t="inlineStr">
        <is>
          <t>DID/blockchain systems are often easy to recover owing to their decentralized structure. Privilege change and revocation events are recorded both on-chain and off-chain, providing high transparency. Conventional IT systems are more complex to recover, and attack effects may persist.</t>
        </is>
      </c>
      <c r="J585" s="16" t="inlineStr">
        <is>
          <t>If an attacker removes the access rights of DID, VC issuer, verifier, or user accounts, the service becomes unusable; therefore, real-time alerts for account deletion/deactivation events, an administrator approval procedure, and a recovery policy are needed.</t>
        </is>
      </c>
      <c r="K585" s="16" t="n"/>
      <c r="L585" s="16" t="inlineStr">
        <is>
          <t>https://attack.mitre.org/techniques/T1531</t>
        </is>
      </c>
    </row>
    <row r="586" ht="91" customHeight="1" s="7">
      <c r="A586" s="16" t="inlineStr">
        <is>
          <t>Impact</t>
        </is>
      </c>
      <c r="B586" s="16" t="inlineStr">
        <is>
          <t>T1485</t>
        </is>
      </c>
      <c r="C586" s="16" t="inlineStr">
        <is>
          <t>Data Destruction</t>
        </is>
      </c>
      <c r="D586" s="16" t="inlineStr">
        <is>
          <t>T1485.001</t>
        </is>
      </c>
      <c r="E586" s="16" t="inlineStr">
        <is>
          <t>Lifecycle-Triggered Deletion</t>
        </is>
      </c>
      <c r="F586" s="16" t="inlineStr">
        <is>
          <t>Partial</t>
        </is>
      </c>
      <c r="G586" s="16" t="inlineStr">
        <is>
          <t>Data destruction (VCs/VC metadata, DID records, etc.) is a major threat to data integrity, traceability, and trustworthiness in DID/VC systems. Owing to blockchain-based immutability, destroying on-chain data is difficult, but deleting or damaging data in off-chain storage, DBs, logs, etc. is entirely possible. Deletion/invalidation of VC and DID records, log loss, storage destruction, etc. can lead to denial of service and loss of trust.</t>
        </is>
      </c>
      <c r="H586" s="16" t="inlineStr">
        <is>
          <t>If an attacker deletes or tampers with data (VCs, logs, DID documents, etc.), trustworthiness and service availability are threatened. Recovery and audit mechanisms after data destruction are essential.</t>
        </is>
      </c>
      <c r="I586" s="16" t="inlineStr">
        <is>
          <t>On-chain data is strongly immutable, making complete deletion difficult. Off-chain data, DBs, file systems, etc. remain vulnerable to destruction attacks. Conventional systems are vulnerable to file deletion and loss, whereas the DID environment has a higher possibility of partial recovery/audit.</t>
        </is>
      </c>
      <c r="J586" s="16" t="inlineStr">
        <is>
          <t>Apply administrator approval and an automatic alert mechanism when off-chain data is deleted. Design the system to record snapshots or hash values on-chain before deletion events occur, so that recovery and tracing are possible in case of data loss or tampering. Apply data encryption detection systems to key data such as off-chain storage, logs, and VCs.</t>
        </is>
      </c>
      <c r="K586" s="16" t="n"/>
      <c r="L586" s="16" t="inlineStr">
        <is>
          <t>https://attack.mitre.org/techniques/T1485</t>
        </is>
      </c>
    </row>
    <row r="587" ht="79.84999999999999" customHeight="1" s="7">
      <c r="A587" s="16" t="inlineStr">
        <is>
          <t>Impact</t>
        </is>
      </c>
      <c r="B587" s="16" t="inlineStr">
        <is>
          <t>T1486</t>
        </is>
      </c>
      <c r="C587" s="16" t="inlineStr">
        <is>
          <t>Data Encrypted for Impact</t>
        </is>
      </c>
      <c r="D587" s="16" t="n"/>
      <c r="E587" s="16" t="n"/>
      <c r="F587" s="16" t="inlineStr">
        <is>
          <t>Partial</t>
        </is>
      </c>
      <c r="G587" s="16" t="inlineStr">
        <is>
          <t>Encryption of data (VCs, DIDs, logs, etc.) leads to data inaccessibility and denial of service (DoS) in DID/VC authentication systems. Blockchain data itself is difficult to change, but off-chain storage and VC/log/event records are vulnerable to encryption attacks. If legitimate users and trusted entities (issuers, verifiers, etc.) cannot access or verify data, the entire authentication service may be halted.</t>
        </is>
      </c>
      <c r="H587" s="16" t="inlineStr">
        <is>
          <t>If an attacker encrypts key data such as VCs, DIDs, and logs, the service and trust framework are directly threatened. Without recovery and backup mechanisms, service outage and data loss occur.</t>
        </is>
      </c>
      <c r="I587" s="16" t="inlineStr">
        <is>
          <t>On-chain data is difficult to alter directly through encryption owing to its immutability. Off-chain data, files, DBs, etc. can be exposed to encryption attacks. In the DID environment, the possibility of partial data recovery/audit is high.</t>
        </is>
      </c>
      <c r="J587" s="16" t="inlineStr">
        <is>
          <t>If off-chain data such as VCs, DIDs, and logs is encrypted by ransomware or similar, the data becomes inaccessible; therefore, regular backups, data encryption detection, blocking of file changes without administrator approval, and a real-time alert system for encryption attempt events are needed.</t>
        </is>
      </c>
      <c r="K587" s="16" t="n"/>
      <c r="L587" s="16" t="inlineStr">
        <is>
          <t>https://attack.mitre.org/techniques/T1486</t>
        </is>
      </c>
    </row>
    <row r="588" ht="79.84999999999999" customHeight="1" s="7">
      <c r="A588" s="16" t="inlineStr">
        <is>
          <t>Impact</t>
        </is>
      </c>
      <c r="B588" s="16" t="inlineStr">
        <is>
          <t>T1565</t>
        </is>
      </c>
      <c r="C588" s="16" t="inlineStr">
        <is>
          <t>Data Manipulation</t>
        </is>
      </c>
      <c r="D588" s="16" t="inlineStr">
        <is>
          <t>T1565.001</t>
        </is>
      </c>
      <c r="E588" s="16" t="inlineStr">
        <is>
          <t>Stored Data Manipulation</t>
        </is>
      </c>
      <c r="F588" s="16" t="inlineStr">
        <is>
          <t>Full</t>
        </is>
      </c>
      <c r="G588" s="16" t="inlineStr">
        <is>
          <t>Tampering with key data such as VCs, DIDs, and logs leads to authentication flow manipulation, issuance of forged VCs, privacy violations, etc. in DID/VC authentication systems. Data manipulation occurs in a way structurally identical to DID threat scenarios (submission of forged VCs, record tampering, etc.). On-chain data is immutable, but data manipulation is a real threat in off-chain storage, event logs, DBs, etc.</t>
        </is>
      </c>
      <c r="H588" s="16" t="inlineStr">
        <is>
          <t>When data is tampered with, the same threats arise: authentication flow manipulation, collapse of trust, service misuse, etc. Tamper detection, recovery, and audit mechanisms are essential.</t>
        </is>
      </c>
      <c r="I588" s="16" t="inlineStr">
        <is>
          <t>On-chain data is impossible or extremely difficult to tamper with, but off-chain storage, DBs, logs, etc. are exposed to tampering risk. DID systems maintain transparent change histories and perform audits.</t>
        </is>
      </c>
      <c r="J588" s="16" t="inlineStr">
        <is>
          <t>Administrator approval and automatic alerts when off-chain data is deleted. Design the system to record snapshots or hash values on-chain before deletion events occur, so that recovery and tracing are possible in case of data loss or tampering.</t>
        </is>
      </c>
      <c r="K588" s="16" t="n"/>
      <c r="L588" s="16" t="inlineStr">
        <is>
          <t>https://attack.mitre.org/techniques/T1565</t>
        </is>
      </c>
    </row>
    <row r="589" ht="79.84999999999999" customHeight="1" s="7">
      <c r="A589" s="16" t="inlineStr">
        <is>
          <t>Impact</t>
        </is>
      </c>
      <c r="B589" s="16" t="inlineStr">
        <is>
          <t>T1565</t>
        </is>
      </c>
      <c r="C589" s="16" t="inlineStr">
        <is>
          <t>Data Manipulation</t>
        </is>
      </c>
      <c r="D589" s="16" t="inlineStr">
        <is>
          <t>T1565.002</t>
        </is>
      </c>
      <c r="E589" s="16" t="inlineStr">
        <is>
          <t>Transmitted Data Manipulation</t>
        </is>
      </c>
      <c r="F589" s="16" t="inlineStr">
        <is>
          <t>Full</t>
        </is>
      </c>
      <c r="G589" s="16" t="inlineStr">
        <is>
          <t>Tampering with key data such as VCs, DIDs, and logs leads to authentication flow manipulation, issuance of forged VCs, privacy violations, etc. in DID/VC authentication systems. Data manipulation occurs in a way structurally identical to DID threat scenarios (submission of forged VCs, record tampering, etc.). On-chain data is immutable, but data manipulation is a real threat in off-chain storage, event logs, DBs, etc.</t>
        </is>
      </c>
      <c r="H589" s="16" t="inlineStr">
        <is>
          <t>When data is tampered with, the same threats arise: authentication flow manipulation, collapse of trust, service misuse, etc. Tamper detection, recovery, and audit mechanisms are essential.</t>
        </is>
      </c>
      <c r="I589" s="16" t="inlineStr">
        <is>
          <t>On-chain data is impossible or extremely difficult to tamper with, but off-chain storage, DBs, logs, etc. are exposed to tampering risk. DID systems maintain transparent change histories and perform audits.</t>
        </is>
      </c>
      <c r="J589" s="16" t="inlineStr">
        <is>
          <t>Administrator approval and automatic alerts when off-chain data is deleted. Design the system to record snapshots or hash values on-chain before deletion events occur, so that recovery and tracing are possible in case of data loss or tampering.</t>
        </is>
      </c>
      <c r="K589" s="16" t="n"/>
      <c r="L589" s="16" t="inlineStr">
        <is>
          <t>https://attack.mitre.org/techniques/T1565</t>
        </is>
      </c>
    </row>
    <row r="590" ht="79.84999999999999" customHeight="1" s="7">
      <c r="A590" s="16" t="inlineStr">
        <is>
          <t>Impact</t>
        </is>
      </c>
      <c r="B590" s="16" t="inlineStr">
        <is>
          <t>T1565</t>
        </is>
      </c>
      <c r="C590" s="16" t="inlineStr">
        <is>
          <t>Data Manipulation</t>
        </is>
      </c>
      <c r="D590" s="16" t="inlineStr">
        <is>
          <t>T1565.003</t>
        </is>
      </c>
      <c r="E590" s="16" t="inlineStr">
        <is>
          <t>Runtime Data Manipulation</t>
        </is>
      </c>
      <c r="F590" s="16" t="inlineStr">
        <is>
          <t>Full</t>
        </is>
      </c>
      <c r="G590" s="16" t="inlineStr">
        <is>
          <t>Tampering with key data such as VCs, DIDs, and logs leads to authentication flow manipulation, issuance of forged VCs, privacy violations, etc. in DID/VC authentication systems. Data manipulation occurs in a way structurally identical to DID threat scenarios (submission of forged VCs, record tampering, etc.). On-chain data is immutable, but data manipulation is a real threat in off-chain storage, event logs, DBs, etc.</t>
        </is>
      </c>
      <c r="H590" s="16" t="inlineStr">
        <is>
          <t>When data is tampered with, the same threats arise: authentication flow manipulation, collapse of trust, service misuse, etc. Tamper detection, recovery, and audit mechanisms are essential.</t>
        </is>
      </c>
      <c r="I590" s="16" t="inlineStr">
        <is>
          <t>On-chain data is impossible or extremely difficult to tamper with, but off-chain storage, DBs, logs, etc. are exposed to tampering risk. DID systems maintain transparent change histories and perform audits.</t>
        </is>
      </c>
      <c r="J590" s="16" t="inlineStr">
        <is>
          <t>Administrator approval and automatic alerts when off-chain data is deleted. Design the system to record snapshots or hash values on-chain before deletion events occur, so that recovery and tracing are possible in case of data loss or tampering.</t>
        </is>
      </c>
      <c r="K590" s="16" t="n"/>
      <c r="L590" s="16" t="inlineStr">
        <is>
          <t>https://attack.mitre.org/techniques/T1565</t>
        </is>
      </c>
    </row>
    <row r="591" ht="102.2" customHeight="1" s="7">
      <c r="A591" s="16" t="inlineStr">
        <is>
          <t>Impact</t>
        </is>
      </c>
      <c r="B591" s="16" t="inlineStr">
        <is>
          <t>T1491</t>
        </is>
      </c>
      <c r="C591" s="16" t="inlineStr">
        <is>
          <t>Defacement</t>
        </is>
      </c>
      <c r="D591" s="16" t="inlineStr">
        <is>
          <t>T1491.001</t>
        </is>
      </c>
      <c r="E591" s="16" t="inlineStr">
        <is>
          <t>Internal Defacement</t>
        </is>
      </c>
      <c r="F591" s="16" t="inlineStr">
        <is>
          <t>Partial</t>
        </is>
      </c>
      <c r="G591" s="16" t="inlineStr">
        <is>
          <t>Defacement attacks (tampering with interfaces and result messages, defacing portal UIs, etc.) pose indirect threats in DID/VC authentication systems, such as forged authentication results, service confusion, and reputational damage. Tampering with core data (VCs, DIDs, on-chain records) is impossible or difficult, but tampering and defacement are entirely possible at the UI/UX layer, such as authentication portals, result messages, and verification screens. This negatively affects DID service quality and trustworthiness through reduced user trust, misleading authentication results, insertion of forged notices, etc.</t>
        </is>
      </c>
      <c r="H591" s="16" t="inlineStr">
        <is>
          <t>If an attacker tampers with service results, messages, UIs, etc., the same threats arise: user confusion, reduced trust, damage to service reputation, etc. Response measures such as regular backups, change audits, and UI/service security patches are needed.</t>
        </is>
      </c>
      <c r="I591" s="16" t="inlineStr">
        <is>
          <t>The core data of DID systems (VCs, DIDs, etc.) is recorded on-chain and is extremely difficult to tamper with, but UIs, service portals, user notices, authentication results, etc. reside off-chain and can be exposed to tampering.</t>
        </is>
      </c>
      <c r="J591" s="16" t="inlineStr">
        <is>
          <t>If user interfaces (UIs) or result notices such as authentication portals, VC service screens, and guidance messages are tampered with, trustworthiness decreases; therefore, integrity verification of the UI/UX layer, regular backups, change audit logs, real-time detection of unauthorized file modifications, and vulnerability patching are needed.</t>
        </is>
      </c>
      <c r="K591" s="16" t="n"/>
      <c r="L591" s="16" t="inlineStr">
        <is>
          <t>https://attack.mitre.org/techniques/T1491</t>
        </is>
      </c>
    </row>
    <row r="592" ht="102.2" customHeight="1" s="7">
      <c r="A592" s="16" t="inlineStr">
        <is>
          <t>Impact</t>
        </is>
      </c>
      <c r="B592" s="16" t="inlineStr">
        <is>
          <t>T1491</t>
        </is>
      </c>
      <c r="C592" s="16" t="inlineStr">
        <is>
          <t>Defacement</t>
        </is>
      </c>
      <c r="D592" s="16" t="inlineStr">
        <is>
          <t>T1491.002</t>
        </is>
      </c>
      <c r="E592" s="16" t="inlineStr">
        <is>
          <t>External Defacement</t>
        </is>
      </c>
      <c r="F592" s="16" t="inlineStr">
        <is>
          <t>Partial</t>
        </is>
      </c>
      <c r="G592" s="16" t="inlineStr">
        <is>
          <t>Defacement attacks (tampering with interfaces and result messages, defacing portal UIs, etc.) pose indirect threats in DID/VC authentication systems, such as forged authentication results, service confusion, and reputational damage. Tampering with core data (VCs, DIDs, on-chain records) is impossible or difficult, but tampering and defacement are entirely possible at the UI/UX layer, such as authentication portals, result messages, and verification screens. This negatively affects DID service quality and trustworthiness through reduced user trust, misleading authentication results, insertion of forged notices, etc.</t>
        </is>
      </c>
      <c r="H592" s="16" t="inlineStr">
        <is>
          <t>If an attacker tampers with service results, messages, UIs, etc., the same threats arise: user confusion, reduced trust, damage to service reputation, etc. Response measures such as regular backups, change audits, and UI/service security patches are needed.</t>
        </is>
      </c>
      <c r="I592" s="16" t="inlineStr">
        <is>
          <t>The core data of DID systems (VCs, DIDs, etc.) is recorded on-chain and is extremely difficult to tamper with, but UIs, service portals, user notices, authentication results, etc. reside off-chain and can be exposed to tampering.</t>
        </is>
      </c>
      <c r="J592" s="16" t="inlineStr">
        <is>
          <t>If user interfaces (UIs) or result notices such as authentication portals, VC service screens, and guidance messages are tampered with, trustworthiness decreases; therefore, integrity verification of the UI/UX layer, regular backups, change audit logs, real-time detection of unauthorized file modifications, and vulnerability patching are needed.</t>
        </is>
      </c>
      <c r="K592" s="16" t="n"/>
      <c r="L592" s="16" t="inlineStr">
        <is>
          <t>https://attack.mitre.org/techniques/T1491</t>
        </is>
      </c>
    </row>
    <row r="593" ht="91" customHeight="1" s="7">
      <c r="A593" s="16" t="inlineStr">
        <is>
          <t>Impact</t>
        </is>
      </c>
      <c r="B593" s="16" t="inlineStr">
        <is>
          <t>T1561</t>
        </is>
      </c>
      <c r="C593" s="16" t="inlineStr">
        <is>
          <t>Disk Wipe</t>
        </is>
      </c>
      <c r="D593" s="16" t="inlineStr">
        <is>
          <t>T1561.001</t>
        </is>
      </c>
      <c r="E593" s="16" t="inlineStr">
        <is>
          <t>Disk Content Wipe</t>
        </is>
      </c>
      <c r="F593" s="16" t="inlineStr">
        <is>
          <t>Partial</t>
        </is>
      </c>
      <c r="G593" s="16" t="inlineStr">
        <is>
          <t>Disk destruction can permanently destroy VCs, DIDs, logs, metadata, etc. stored off-chain. On-chain data (blockchain) is immutable and cannot be destroyed directly, but off-chain data, DBs, files, etc. are permanently lost through disk deletion/formatting. If data recovery becomes difficult, damage such as outage of authentication/verification services and loss of trust occurs.</t>
        </is>
      </c>
      <c r="H593" s="16" t="inlineStr">
        <is>
          <t>When disks are destroyed, core data such as VCs, DIDs, and logs is permanently lost, threatening the service and trust framework. Data protection measures such as recovery mechanisms and backup policies are essential.</t>
        </is>
      </c>
      <c r="I593" s="16" t="inlineStr">
        <is>
          <t>On-chain data is preserved regardless of disk destruction, but off-chain DBs, storage, logs, etc. are highly vulnerable to destruction attacks. Compared with conventional systems, the DID environment requires dual management of on-chain and off-chain data.</t>
        </is>
      </c>
      <c r="J593" s="16" t="inlineStr">
        <is>
          <t>Introduce real-time alerts and an administrator approval procedure for disk deletion/formatting so that VCs, DIDs, logs, etc. in off-chain storage (DBs, files, etc.) are not permanently lost. Strengthen regular backup and recovery mechanisms, and design the system so that off-chain data can be restored from on-chain information when a disk deletion event occurs.</t>
        </is>
      </c>
      <c r="K593" s="16" t="n"/>
      <c r="L593" s="16" t="inlineStr">
        <is>
          <t>https://attack.mitre.org/techniques/T1561</t>
        </is>
      </c>
    </row>
    <row r="594" ht="91" customHeight="1" s="7">
      <c r="A594" s="16" t="inlineStr">
        <is>
          <t>Impact</t>
        </is>
      </c>
      <c r="B594" s="16" t="inlineStr">
        <is>
          <t>T1561</t>
        </is>
      </c>
      <c r="C594" s="16" t="inlineStr">
        <is>
          <t>Disk Wipe</t>
        </is>
      </c>
      <c r="D594" s="16" t="inlineStr">
        <is>
          <t>T1561.002</t>
        </is>
      </c>
      <c r="E594" s="16" t="inlineStr">
        <is>
          <t>Disk Structure Wipe</t>
        </is>
      </c>
      <c r="F594" s="16" t="inlineStr">
        <is>
          <t>Partial</t>
        </is>
      </c>
      <c r="G594" s="16" t="inlineStr">
        <is>
          <t>Disk destruction can permanently destroy VCs, DIDs, logs, metadata, etc. stored off-chain. On-chain data (blockchain) is immutable and cannot be destroyed directly, but off-chain data, DBs, files, etc. are permanently lost through disk deletion/formatting. If data recovery becomes difficult, damage such as outage of authentication/verification services and loss of trust occurs.</t>
        </is>
      </c>
      <c r="H594" s="16" t="inlineStr">
        <is>
          <t>When disks are destroyed, core data such as VCs, DIDs, and logs is permanently lost, threatening the service and trust framework. Data protection measures such as recovery mechanisms and backup policies are essential.</t>
        </is>
      </c>
      <c r="I594" s="16" t="inlineStr">
        <is>
          <t>On-chain data is preserved regardless of disk destruction, but off-chain DBs, storage, logs, etc. are highly vulnerable to destruction attacks. Compared with conventional systems, the DID environment requires dual management of on-chain and off-chain data.</t>
        </is>
      </c>
      <c r="J594" s="16" t="inlineStr">
        <is>
          <t>Introduce real-time alerts and an administrator approval procedure for disk deletion/formatting so that VCs, DIDs, logs, etc. in off-chain storage (DBs, files, etc.) are not permanently lost. Strengthen regular backup and recovery mechanisms, and design the system so that off-chain data can be restored from on-chain information when a disk deletion event occurs.</t>
        </is>
      </c>
      <c r="K594" s="16" t="n"/>
      <c r="L594" s="16" t="inlineStr">
        <is>
          <t>https://attack.mitre.org/techniques/T1561</t>
        </is>
      </c>
    </row>
    <row r="595" ht="124.6" customHeight="1" s="7">
      <c r="A595" s="16" t="inlineStr">
        <is>
          <t>Impact</t>
        </is>
      </c>
      <c r="B595" s="16" t="inlineStr">
        <is>
          <t>T1667</t>
        </is>
      </c>
      <c r="C595" s="16" t="inlineStr">
        <is>
          <t>Email Bombing</t>
        </is>
      </c>
      <c r="D595" s="16" t="n"/>
      <c r="E595" s="16" t="n"/>
      <c r="F595" s="16" t="inlineStr">
        <is>
          <t>Partial</t>
        </is>
      </c>
      <c r="G595" s="16" t="inlineStr">
        <is>
          <t>If an Email Bombing attack succeeds against an email-based DID/VC authentication and notification system, legitimate authentication emails, notifications, and approval requests are missed, blocked, or delayed, resulting in threats such as effective service unavailability, authentication failure, and account lockout. However, this is not direct data tampering or theft, and the impact on authentication channels other than email is limited.</t>
        </is>
      </c>
      <c r="H595" s="16" t="inlineStr">
        <is>
          <t>When email-based authentication/notification is used, mass email attacks cause service disruptions such as denial of service (DoS), account lockout, and missed notifications. Events such as mass email reception, anomalous SMTP traffic, and spam filter bypass are vulnerabilities common to network and mail systems.</t>
        </is>
      </c>
      <c r="I595" s="16" t="inlineStr">
        <is>
          <t>DID systems can easily add alternative authentication/notification channels besides email, such as DIDComm, push, and on-chain notifications. Conventional systems depend heavily on email and are more vulnerable to Email Bombing. DID systems can be designed with additional complementary measures such as on-chain records, multi-channel authentication, and multi-factor authentication (2FA).</t>
        </is>
      </c>
      <c r="J595" s="16" t="inlineStr">
        <is>
          <t>Detect mass reception of authentication/notification emails, SMTP floods, and spam patterns in real time, and strengthen administrator alerting and automatic blocking mechanisms. Introduce a priority queue for legitimate authentication emails, resending of authentication emails, and alternative authentication channels such as OTP. Ensure service continuity during Email Bombing, for example by providing a temporary alternative authentication path for DID accounts.</t>
        </is>
      </c>
      <c r="K595" s="16" t="n"/>
      <c r="L595" s="16" t="inlineStr">
        <is>
          <t>https://attack.mitre.org/techniques/T1667</t>
        </is>
      </c>
    </row>
    <row r="596" ht="124.6" customHeight="1" s="7">
      <c r="A596" s="16" t="inlineStr">
        <is>
          <t>Impact</t>
        </is>
      </c>
      <c r="B596" s="16" t="inlineStr">
        <is>
          <t>T1499</t>
        </is>
      </c>
      <c r="C596" s="16" t="inlineStr">
        <is>
          <t>Endpoint Denial of Service</t>
        </is>
      </c>
      <c r="D596" s="16" t="inlineStr">
        <is>
          <t>T1499.001</t>
        </is>
      </c>
      <c r="E596" s="16" t="inlineStr">
        <is>
          <t>OS Exhaustion Flood</t>
        </is>
      </c>
      <c r="F596" s="16" t="inlineStr">
        <is>
          <t>Partial</t>
        </is>
      </c>
      <c r="G596" s="16" t="inlineStr">
        <is>
          <t>If a DID/VC authentication system is concentrated on specific endpoints (authentication server, DID registry, issuer/verifier servers, etc.) and that equipment suffers a DoS attack, the authentication/issuance/verification service itself is halted, resulting in denial of service. However, on-chain-based systems are structured to withstand failures of some nodes rather than the entire network, so while the entire service is not paralyzed, failure of a core node can be a critical threat.</t>
        </is>
      </c>
      <c r="H596" s="16" t="inlineStr">
        <is>
          <t>When endpoint equipment (servers, authentication devices, etc.) suffers overload or resource exhaustion attacks, normal service provision becomes difficult and denial of service (DoS) occurs. The need for monitoring and defense of system resources (network, CPU, memory) is the same.</t>
        </is>
      </c>
      <c r="I596" s="16" t="inlineStr">
        <is>
          <t>DID systems have high resilience to failures of some nodes owing to their decentralized, distributed structure. Conventional systems are centralized, so the paralysis of a single core server can halt the entire service. DID/VC authentication can readily provide alternative paths during failures through on-chain records, multiple servers, etc.</t>
        </is>
      </c>
      <c r="J596" s="16" t="inlineStr">
        <is>
          <t>Introduce response mechanisms such as resource monitoring, automatic overload detection, and traffic rate limiting for core endpoints such as authentication servers and DID registries. Prepare service decentralization and alternative authentication paths (multiple servers, on-chain backup, etc.). Design load balancing, automatic failover, separation of priority authentication services, etc. so that service continuity is maintained even when some nodes fail upon DoS detection.</t>
        </is>
      </c>
      <c r="K596" s="16" t="n"/>
      <c r="L596" s="16" t="inlineStr">
        <is>
          <t>https://attack.mitre.org/techniques/T1499</t>
        </is>
      </c>
    </row>
    <row r="597" ht="124.6" customHeight="1" s="7">
      <c r="A597" s="16" t="inlineStr">
        <is>
          <t>Impact</t>
        </is>
      </c>
      <c r="B597" s="16" t="inlineStr">
        <is>
          <t>T1499</t>
        </is>
      </c>
      <c r="C597" s="16" t="inlineStr">
        <is>
          <t>Endpoint Denial of Service</t>
        </is>
      </c>
      <c r="D597" s="16" t="inlineStr">
        <is>
          <t>T1499.002</t>
        </is>
      </c>
      <c r="E597" s="16" t="inlineStr">
        <is>
          <t>Service Exhaustion Flood</t>
        </is>
      </c>
      <c r="F597" s="16" t="inlineStr">
        <is>
          <t>Partial</t>
        </is>
      </c>
      <c r="G597" s="16" t="inlineStr">
        <is>
          <t>If a DID/VC authentication system is concentrated on specific endpoints (authentication server, DID registry, issuer/verifier servers, etc.) and that equipment suffers a DoS attack, the authentication/issuance/verification service itself is halted, resulting in denial of service. However, on-chain-based systems are structured to withstand failures of some nodes rather than the entire network, so while the entire service is not paralyzed, failure of a core node can be a critical threat.</t>
        </is>
      </c>
      <c r="H597" s="16" t="inlineStr">
        <is>
          <t>When endpoint equipment (servers, authentication devices, etc.) suffers overload or resource exhaustion attacks, normal service provision becomes difficult and denial of service (DoS) occurs. The need for monitoring and defense of system resources (network, CPU, memory) is the same.</t>
        </is>
      </c>
      <c r="I597" s="16" t="inlineStr">
        <is>
          <t>DID systems have high resilience to failures of some nodes owing to their decentralized, distributed structure. Conventional systems are centralized, so the paralysis of a single core server can halt the entire service. DID/VC authentication can readily provide alternative paths during failures through on-chain records, multiple servers, etc.</t>
        </is>
      </c>
      <c r="J597" s="16" t="inlineStr">
        <is>
          <t>Introduce response mechanisms such as resource monitoring, automatic overload detection, and traffic rate limiting for core endpoints such as authentication servers and DID registries. Prepare service decentralization and alternative authentication paths (multiple servers, on-chain backup, etc.). Design load balancing, automatic failover, separation of priority authentication services, etc. so that service continuity is maintained even when some nodes fail upon DoS detection.</t>
        </is>
      </c>
      <c r="K597" s="16" t="n"/>
      <c r="L597" s="16" t="inlineStr">
        <is>
          <t>https://attack.mitre.org/techniques/T1499</t>
        </is>
      </c>
    </row>
    <row r="598" ht="124.6" customHeight="1" s="7">
      <c r="A598" s="16" t="inlineStr">
        <is>
          <t>Impact</t>
        </is>
      </c>
      <c r="B598" s="16" t="inlineStr">
        <is>
          <t>T1499</t>
        </is>
      </c>
      <c r="C598" s="16" t="inlineStr">
        <is>
          <t>Endpoint Denial of Service</t>
        </is>
      </c>
      <c r="D598" s="16" t="inlineStr">
        <is>
          <t>T1499.003</t>
        </is>
      </c>
      <c r="E598" s="16" t="inlineStr">
        <is>
          <t>Application Exhaustion Flood</t>
        </is>
      </c>
      <c r="F598" s="16" t="inlineStr">
        <is>
          <t>Partial</t>
        </is>
      </c>
      <c r="G598" s="16" t="inlineStr">
        <is>
          <t>If a DID/VC authentication system is concentrated on specific endpoints (authentication server, DID registry, issuer/verifier servers, etc.) and that equipment suffers a DoS attack, the authentication/issuance/verification service itself is halted, resulting in denial of service. However, on-chain-based systems are structured to withstand failures of some nodes rather than the entire network, so while the entire service is not paralyzed, failure of a core node can be a critical threat.</t>
        </is>
      </c>
      <c r="H598" s="16" t="inlineStr">
        <is>
          <t>When endpoint equipment (servers, authentication devices, etc.) suffers overload or resource exhaustion attacks, normal service provision becomes difficult and denial of service (DoS) occurs. The need for monitoring and defense of system resources (network, CPU, memory) is the same.</t>
        </is>
      </c>
      <c r="I598" s="16" t="inlineStr">
        <is>
          <t>DID systems have high resilience to failures of some nodes owing to their decentralized, distributed structure. Conventional systems are centralized, so the paralysis of a single core server can halt the entire service. DID/VC authentication can readily provide alternative paths during failures through on-chain records, multiple servers, etc.</t>
        </is>
      </c>
      <c r="J598" s="16" t="inlineStr">
        <is>
          <t>Introduce response mechanisms such as resource monitoring, automatic overload detection, and traffic rate limiting for core endpoints such as authentication servers and DID registries. Prepare service decentralization and alternative authentication paths (multiple servers, on-chain backup, etc.). Design load balancing, automatic failover, separation of priority authentication services, etc. so that service continuity is maintained even when some nodes fail upon DoS detection.</t>
        </is>
      </c>
      <c r="K598" s="16" t="n"/>
      <c r="L598" s="16" t="inlineStr">
        <is>
          <t>https://attack.mitre.org/techniques/T1499</t>
        </is>
      </c>
    </row>
    <row r="599" ht="124.6" customHeight="1" s="7">
      <c r="A599" s="16" t="inlineStr">
        <is>
          <t>Impact</t>
        </is>
      </c>
      <c r="B599" s="16" t="inlineStr">
        <is>
          <t>T1499</t>
        </is>
      </c>
      <c r="C599" s="16" t="inlineStr">
        <is>
          <t>Endpoint Denial of Service</t>
        </is>
      </c>
      <c r="D599" s="16" t="inlineStr">
        <is>
          <t>T1499.004</t>
        </is>
      </c>
      <c r="E599" s="16" t="inlineStr">
        <is>
          <t>Application or System Exploitation</t>
        </is>
      </c>
      <c r="F599" s="16" t="inlineStr">
        <is>
          <t>Partial</t>
        </is>
      </c>
      <c r="G599" s="16" t="inlineStr">
        <is>
          <t>If a DID/VC authentication system is concentrated on specific endpoints (authentication server, DID registry, issuer/verifier servers, etc.) and that equipment suffers a DoS attack, the authentication/issuance/verification service itself is halted, resulting in denial of service. However, on-chain-based systems are structured to withstand failures of some nodes rather than the entire network, so while the entire service is not paralyzed, failure of a core node can be a critical threat.</t>
        </is>
      </c>
      <c r="H599" s="16" t="inlineStr">
        <is>
          <t>When endpoint equipment (servers, authentication devices, etc.) suffers overload or resource exhaustion attacks, normal service provision becomes difficult and denial of service (DoS) occurs. The need for monitoring and defense of system resources (network, CPU, memory) is the same.</t>
        </is>
      </c>
      <c r="I599" s="16" t="inlineStr">
        <is>
          <t>DID systems have high resilience to failures of some nodes owing to their decentralized, distributed structure. Conventional systems are centralized, so the paralysis of a single core server can halt the entire service. DID/VC authentication can readily provide alternative paths during failures through on-chain records, multiple servers, etc.</t>
        </is>
      </c>
      <c r="J599" s="16" t="inlineStr">
        <is>
          <t>Introduce response mechanisms such as resource monitoring, automatic overload detection, and traffic rate limiting for core endpoints such as authentication servers and DID registries. Prepare service decentralization and alternative authentication paths (multiple servers, on-chain backup, etc.). Design load balancing, automatic failover, separation of priority authentication services, etc. so that service continuity is maintained even when some nodes fail upon DoS detection.</t>
        </is>
      </c>
      <c r="K599" s="16" t="n"/>
      <c r="L599" s="16" t="inlineStr">
        <is>
          <t>https://attack.mitre.org/techniques/T1499</t>
        </is>
      </c>
    </row>
    <row r="600" ht="124.6" customHeight="1" s="7">
      <c r="A600" s="16" t="inlineStr">
        <is>
          <t>Impact</t>
        </is>
      </c>
      <c r="B600" s="16" t="inlineStr">
        <is>
          <t>T1657</t>
        </is>
      </c>
      <c r="C600" s="16" t="inlineStr">
        <is>
          <t>Financial Theft</t>
        </is>
      </c>
      <c r="D600" s="16" t="n"/>
      <c r="E600" s="16" t="n"/>
      <c r="F600" s="16" t="inlineStr">
        <is>
          <t>Partial</t>
        </is>
      </c>
      <c r="G600" s="16" t="inlineStr">
        <is>
          <t>When a DID/VC system is integrated with cryptocurrency wallets, electronic payments, financial services, etc., actual monetary losses can occur, such as unauthorized asset transfers through theft of authentication information, VC forgery, or tampering with transaction requests. Beyond simple authentication bypass and credential misuse, this is linked to direct financial damage such as automated remittances and mass withdrawals.</t>
        </is>
      </c>
      <c r="H600" s="16" t="inlineStr">
        <is>
          <t>There is a threat of actual asset theft through theft of authentication information, automated unauthorized transactions, authentication bypass, etc. The need for defenses such as anomalous transaction detection, blocking of anomalous transactions, and multi-factor authentication is the same.</t>
        </is>
      </c>
      <c r="I600" s="16" t="inlineStr">
        <is>
          <t>DID systems can be designed with additional security measures such as VCs, decentralized identity-based authentication, multiple authentication using on-chain transaction history, and decentralized wallets. Blockchain-based financial services offer high transparency through on-chain transaction tracing, smart contract integration, on-chain/off-chain auditing, etc. Conventional financial systems are vulnerable owing to centralized management of accounts and authentication information.</t>
        </is>
      </c>
      <c r="J600" s="16" t="inlineStr">
        <is>
          <t>In DID/VC-based services, mandate multi-factor authentication (2FA, biometric authentication, etc.) for asset remittance, payment, and wallet access, and strengthen real-time monitoring for anomalous transaction events, VC forgery, automatic remittance, etc. For financial transactions such as remittances and payments, enforce on-chain/off-chain anomaly alerts, administrator approval, transaction limits, and transaction monitoring policies.</t>
        </is>
      </c>
      <c r="K600" s="16" t="n"/>
      <c r="L600" s="16" t="inlineStr">
        <is>
          <t>https://attack.mitre.org/techniques/T1657</t>
        </is>
      </c>
    </row>
    <row r="601" ht="113.4" customHeight="1" s="7">
      <c r="A601" s="16" t="inlineStr">
        <is>
          <t>Impact</t>
        </is>
      </c>
      <c r="B601" s="16" t="inlineStr">
        <is>
          <t>T1495</t>
        </is>
      </c>
      <c r="C601" s="16" t="inlineStr">
        <is>
          <t>Firmware Corruption</t>
        </is>
      </c>
      <c r="D601" s="16" t="n"/>
      <c r="E601" s="16" t="n"/>
      <c r="F601" s="16" t="inlineStr">
        <is>
          <t>Partial</t>
        </is>
      </c>
      <c r="G601" s="16" t="inlineStr">
        <is>
          <t>When the firmware of DID authentication servers, HSMs, wallet devices, etc. is tampered with, they are exposed to critical attacks such as authentication key leakage, backdoor installation, and fraudulent issuance. On-chain data itself cannot be damaged, but firmware-based trust anchors such as authentication keys and wallets can be neutralized.</t>
        </is>
      </c>
      <c r="H601" s="16" t="inlineStr">
        <is>
          <t>Firmware corruption threatens the entire core infrastructure through service outage, authentication bypass, key leakage, etc. The need for basic defenses such as firmware integrity verification, secure boot, and administrator approval is the same.</t>
        </is>
      </c>
      <c r="I601" s="16" t="inlineStr">
        <is>
          <t>DID systems make extensive use of various security devices such as hardware wallets, HSMs, and TEEs. Because the environment is distributed, overall trustworthiness can be relatively maintained even if the firmware of some nodes/wallets is corrupted. On-chain records themselves are not directly damaged by firmware attacks.</t>
        </is>
      </c>
      <c r="J601" s="16" t="inlineStr">
        <is>
          <t>Apply security policies such as integrity verification, applying only signed firmware, multi-administrator approval, and logging of flashing history to equipment where firmware is critical, such as HSMs, hardware wallets, and authentication servers. Record firmware updates and change history on-chain for post-hoc tracing and auditing. Apply automatic service blocking and immediate administrator alerts when unauthorized firmware is installed.</t>
        </is>
      </c>
      <c r="K601" s="16" t="n"/>
      <c r="L601" s="16" t="inlineStr">
        <is>
          <t>https://attack.mitre.org/techniques/T1495</t>
        </is>
      </c>
    </row>
    <row r="602" ht="102.2" customHeight="1" s="7">
      <c r="A602" s="16" t="inlineStr">
        <is>
          <t>Impact</t>
        </is>
      </c>
      <c r="B602" s="16" t="inlineStr">
        <is>
          <t>T1490</t>
        </is>
      </c>
      <c r="C602" s="16" t="inlineStr">
        <is>
          <t>Inhibit System Recovery</t>
        </is>
      </c>
      <c r="D602" s="16" t="n"/>
      <c r="E602" s="16" t="n"/>
      <c r="F602" s="16" t="inlineStr">
        <is>
          <t>Partial</t>
        </is>
      </c>
      <c r="G602" s="16" t="inlineStr">
        <is>
          <t>If the backup and recovery functions for off-chain VCs, logs, authentication information, and metadata are destroyed, risks arise such as inability to recover after data loss, loss of trust in the service, and inability to trace anomalous behavior. On-chain data itself cannot be tampered with or deleted, but if recovery functions are neutralized, recovery is impossible when off-chain information is lost.</t>
        </is>
      </c>
      <c r="H602" s="16" t="inlineStr">
        <is>
          <t>If backup and recovery functions are deleted, the same damage occurs, such as data loss and service interruption. Protection of recovery points, backup files, and restoration services is essential.</t>
        </is>
      </c>
      <c r="I602" s="16" t="inlineStr">
        <is>
          <t>In DID systems, core records are retained owing to the persistence of on-chain data, but recovery of off-chain data (VCs, logs, etc.) may become difficult. Conventional systems face a higher risk of losing all data.</t>
        </is>
      </c>
      <c r="J602" s="16" t="inlineStr">
        <is>
          <t>Introduce protection policies for backup files of off-chain VCs, logs, metadata, etc., such as separate offline/off-site storage, access control for backups, and multi-administrator approval for backup deletion. Record backup/recovery events on-chain to improve auditing of anomalous behavior and recoverability. Operate automated recovery verification and periodic restoration test procedures.</t>
        </is>
      </c>
      <c r="K602" s="16" t="n"/>
      <c r="L602" s="16" t="inlineStr">
        <is>
          <t>https://attack.mitre.org/techniques/T1490</t>
        </is>
      </c>
    </row>
    <row r="603" ht="113.4" customHeight="1" s="7">
      <c r="A603" s="16" t="inlineStr">
        <is>
          <t>Impact</t>
        </is>
      </c>
      <c r="B603" s="16" t="inlineStr">
        <is>
          <t>T1498</t>
        </is>
      </c>
      <c r="C603" s="16" t="inlineStr">
        <is>
          <t>Network Denial of Service</t>
        </is>
      </c>
      <c r="D603" s="16" t="inlineStr">
        <is>
          <t>T1498.001</t>
        </is>
      </c>
      <c r="E603" s="16" t="inlineStr">
        <is>
          <t>Direct Network Flood</t>
        </is>
      </c>
      <c r="F603" s="16" t="inlineStr">
        <is>
          <t>Partial</t>
        </is>
      </c>
      <c r="G603" s="16" t="inlineStr">
        <is>
          <t>If network-based components of a DID/VC authentication system, such as servers, DID registries, and authentication nodes, suffer a large-scale DoS attack, major denial-of-service risks arise, such as service outage, authentication failure, and delays to legitimate transactions. On-chain data cannot be damaged, but the entire authentication and issuance flow can be halted during a network failure.</t>
        </is>
      </c>
      <c r="H603" s="16" t="inlineStr">
        <is>
          <t>Authentication and issuance services may be paralyzed, services may become inaccessible, and the entire service may be denied. The main vulnerabilities, such as massive traffic, equipment overload, and paralysis of network infrastructure, are similar.</t>
        </is>
      </c>
      <c r="I603" s="16" t="inlineStr">
        <is>
          <t>Owing to their decentralized, distributed structure, DID systems can maintain the overall trust framework when some nodes fail. Conventional systems with a centralized configuration face a high risk of the entire service halting at once. In the DID environment, some failures can be recovered through alternative authentication paths, on-chain records, etc.</t>
        </is>
      </c>
      <c r="J603" s="16" t="inlineStr">
        <is>
          <t>Implement traffic filters, DoS/DDoS defenses, real-time monitoring, and administrator alerting for core network segments such as authentication servers and DID registries. Ensure service continuity during failures through network decentralization, load balancing, operation of alternative nodes, etc. Establish procedures for automatic authentication blocking/retry, guidance to alternative paths, and service recovery upon attack detection.</t>
        </is>
      </c>
      <c r="K603" s="16" t="n"/>
      <c r="L603" s="16" t="inlineStr">
        <is>
          <t>https://attack.mitre.org/techniques/T1498</t>
        </is>
      </c>
    </row>
    <row r="604" ht="113.4" customHeight="1" s="7">
      <c r="A604" s="16" t="inlineStr">
        <is>
          <t>Impact</t>
        </is>
      </c>
      <c r="B604" s="16" t="inlineStr">
        <is>
          <t>T1498</t>
        </is>
      </c>
      <c r="C604" s="16" t="inlineStr">
        <is>
          <t>Network Denial of Service</t>
        </is>
      </c>
      <c r="D604" s="16" t="inlineStr">
        <is>
          <t>T1498.002</t>
        </is>
      </c>
      <c r="E604" s="16" t="inlineStr">
        <is>
          <t>Reflection Amplification</t>
        </is>
      </c>
      <c r="F604" s="16" t="inlineStr">
        <is>
          <t>Partial</t>
        </is>
      </c>
      <c r="G604" s="16" t="inlineStr">
        <is>
          <t>If network-based components of a DID/VC authentication system, such as servers, DID registries, and authentication nodes, suffer a large-scale DoS attack, major denial-of-service risks arise, such as service outage, authentication failure, and delays to legitimate transactions. On-chain data cannot be damaged, but the entire authentication and issuance flow can be halted during a network failure.</t>
        </is>
      </c>
      <c r="H604" s="16" t="inlineStr">
        <is>
          <t>Authentication and issuance services may be paralyzed, services may become inaccessible, and the entire service may be denied. The main vulnerabilities, such as massive traffic, equipment overload, and paralysis of network infrastructure, are similar.</t>
        </is>
      </c>
      <c r="I604" s="16" t="inlineStr">
        <is>
          <t>Owing to their decentralized, distributed structure, DID systems can maintain the overall trust framework when some nodes fail. Conventional systems with a centralized configuration face a high risk of the entire service halting at once. In the DID environment, some failures can be recovered through alternative authentication paths, on-chain records, etc.</t>
        </is>
      </c>
      <c r="J604" s="16" t="inlineStr">
        <is>
          <t>Implement traffic filters, DoS/DDoS defenses, real-time monitoring, and administrator alerting for core network segments such as authentication servers and DID registries. Ensure service continuity during failures through network decentralization, load balancing, operation of alternative nodes, etc. Establish procedures for automatic authentication blocking/retry, guidance to alternative paths, and service recovery upon attack detection.</t>
        </is>
      </c>
      <c r="K604" s="16" t="n"/>
      <c r="L604" s="16" t="inlineStr">
        <is>
          <t>https://attack.mitre.org/techniques/T1498</t>
        </is>
      </c>
    </row>
    <row r="605" ht="102.2" customHeight="1" s="7">
      <c r="A605" s="16" t="inlineStr">
        <is>
          <t>Impact</t>
        </is>
      </c>
      <c r="B605" s="16" t="inlineStr">
        <is>
          <t>T1496</t>
        </is>
      </c>
      <c r="C605" s="16" t="inlineStr">
        <is>
          <t>Resource Hijacking</t>
        </is>
      </c>
      <c r="D605" s="16" t="inlineStr">
        <is>
          <t>T1496.001</t>
        </is>
      </c>
      <c r="E605" s="16" t="inlineStr">
        <is>
          <t>Compute Hijacking</t>
        </is>
      </c>
      <c r="F605" s="16" t="inlineStr">
        <is>
          <t>Partial</t>
        </is>
      </c>
      <c r="G605" s="16" t="inlineStr">
        <is>
          <t>When resource hijacking occurs on DID/VC authentication servers, clouds, networks, etc., operational problems arise, such as performance degradation of authentication/issuance/verification services, denial of service, and cost overruns. This is not direct data tampering or theft, but it undermines service availability and trustworthiness.</t>
        </is>
      </c>
      <c r="H605" s="16" t="inlineStr">
        <is>
          <t>When resources such as servers and clouds are hijacked, the same damage occurs, such as performance degradation, service failures, and increased costs. The need for fundamental defenses such as resource usage monitoring, detection of unauthorized processes, and access control is the same.</t>
        </is>
      </c>
      <c r="I605" s="16" t="inlineStr">
        <is>
          <t>Owing to their distributed structure, DID systems may maintain overall service continuity even if some nodes/servers are hijacked. In conventional systems with a centralized structure, damage can spread more widely.</t>
        </is>
      </c>
      <c r="J605" s="16" t="inlineStr">
        <is>
          <t>Monitor CPU, memory, and network usage of core resources such as authentication servers and clouds in real time, and strengthen automatic blocking and alerting when unauthorized processes or anomalous resource usage events occur. Manage administrator privileges/account access and software update policies with two-factor authentication, the least-privilege principle, etc.</t>
        </is>
      </c>
      <c r="K605" s="16" t="n"/>
      <c r="L605" s="16" t="inlineStr">
        <is>
          <t>https://attack.mitre.org/techniques/T1496</t>
        </is>
      </c>
    </row>
    <row r="606" ht="102.2" customHeight="1" s="7">
      <c r="A606" s="16" t="inlineStr">
        <is>
          <t>Impact</t>
        </is>
      </c>
      <c r="B606" s="16" t="inlineStr">
        <is>
          <t>T1496</t>
        </is>
      </c>
      <c r="C606" s="16" t="inlineStr">
        <is>
          <t>Resource Hijacking</t>
        </is>
      </c>
      <c r="D606" s="16" t="inlineStr">
        <is>
          <t>T1496.002</t>
        </is>
      </c>
      <c r="E606" s="16" t="inlineStr">
        <is>
          <t>Bandwidth Hijacking</t>
        </is>
      </c>
      <c r="F606" s="16" t="inlineStr">
        <is>
          <t>Partial</t>
        </is>
      </c>
      <c r="G606" s="16" t="inlineStr">
        <is>
          <t>When resource hijacking occurs on DID/VC authentication servers, clouds, networks, etc., operational problems arise, such as performance degradation of authentication/issuance/verification services, denial of service, and cost overruns. This is not direct data tampering or theft, but it undermines service availability and trustworthiness.</t>
        </is>
      </c>
      <c r="H606" s="16" t="inlineStr">
        <is>
          <t>When resources such as servers and clouds are hijacked, the same damage occurs, such as performance degradation, service failures, and increased costs. The need for fundamental defenses such as resource usage monitoring, detection of unauthorized processes, and access control is the same.</t>
        </is>
      </c>
      <c r="I606" s="16" t="inlineStr">
        <is>
          <t>Owing to their distributed structure, DID systems may maintain overall service continuity even if some nodes/servers are hijacked. In conventional systems with a centralized structure, damage can spread more widely.</t>
        </is>
      </c>
      <c r="J606" s="16" t="inlineStr">
        <is>
          <t>Monitor CPU, memory, and network usage of core resources such as authentication servers and clouds in real time, and strengthen automatic blocking and alerting when unauthorized processes or anomalous resource usage events occur. Manage administrator privileges/account access and software update policies with two-factor authentication, the least-privilege principle, etc.</t>
        </is>
      </c>
      <c r="K606" s="16" t="n"/>
      <c r="L606" s="16" t="inlineStr">
        <is>
          <t>https://attack.mitre.org/techniques/T1496</t>
        </is>
      </c>
    </row>
    <row r="607" ht="102.2" customHeight="1" s="7">
      <c r="A607" s="16" t="inlineStr">
        <is>
          <t>Impact</t>
        </is>
      </c>
      <c r="B607" s="16" t="inlineStr">
        <is>
          <t>T1496</t>
        </is>
      </c>
      <c r="C607" s="16" t="inlineStr">
        <is>
          <t>Resource Hijacking</t>
        </is>
      </c>
      <c r="D607" s="16" t="inlineStr">
        <is>
          <t>T1496.003</t>
        </is>
      </c>
      <c r="E607" s="16" t="inlineStr">
        <is>
          <t>SMS Pumping</t>
        </is>
      </c>
      <c r="F607" s="16" t="inlineStr">
        <is>
          <t>Partial</t>
        </is>
      </c>
      <c r="G607" s="16" t="inlineStr">
        <is>
          <t>When resource hijacking occurs on DID/VC authentication servers, clouds, networks, etc., operational problems arise, such as performance degradation of authentication/issuance/verification services, denial of service, and cost overruns. This is not direct data tampering or theft, but it undermines service availability and trustworthiness.</t>
        </is>
      </c>
      <c r="H607" s="16" t="inlineStr">
        <is>
          <t>When resources such as servers and clouds are hijacked, the same damage occurs, such as performance degradation, service failures, and increased costs. The need for fundamental defenses such as resource usage monitoring, detection of unauthorized processes, and access control is the same.</t>
        </is>
      </c>
      <c r="I607" s="16" t="inlineStr">
        <is>
          <t>Owing to their distributed structure, DID systems may maintain overall service continuity even if some nodes/servers are hijacked. In conventional systems with a centralized structure, damage can spread more widely.</t>
        </is>
      </c>
      <c r="J607" s="16" t="inlineStr">
        <is>
          <t>Monitor CPU, memory, and network usage of core resources such as authentication servers and clouds in real time, and strengthen automatic blocking and alerting when unauthorized processes or anomalous resource usage events occur. Manage administrator privileges/account access and software update policies with two-factor authentication, the least-privilege principle, etc.</t>
        </is>
      </c>
      <c r="K607" s="16" t="n"/>
      <c r="L607" s="16" t="inlineStr">
        <is>
          <t>https://attack.mitre.org/techniques/T1496</t>
        </is>
      </c>
    </row>
    <row r="608" ht="102.2" customHeight="1" s="7">
      <c r="A608" s="16" t="inlineStr">
        <is>
          <t>Impact</t>
        </is>
      </c>
      <c r="B608" s="16" t="inlineStr">
        <is>
          <t>T1496</t>
        </is>
      </c>
      <c r="C608" s="16" t="inlineStr">
        <is>
          <t>Resource Hijacking</t>
        </is>
      </c>
      <c r="D608" s="16" t="inlineStr">
        <is>
          <t>T1496.004</t>
        </is>
      </c>
      <c r="E608" s="16" t="inlineStr">
        <is>
          <t>Cloud Service Hijacking</t>
        </is>
      </c>
      <c r="F608" s="16" t="inlineStr">
        <is>
          <t>Partial</t>
        </is>
      </c>
      <c r="G608" s="16" t="inlineStr">
        <is>
          <t>When resource hijacking occurs on DID/VC authentication servers, clouds, networks, etc., operational problems arise, such as performance degradation of authentication/issuance/verification services, denial of service, and cost overruns. This is not direct data tampering or theft, but it undermines service availability and trustworthiness.</t>
        </is>
      </c>
      <c r="H608" s="16" t="inlineStr">
        <is>
          <t>When resources such as servers and clouds are hijacked, the same damage occurs, such as performance degradation, service failures, and increased costs. The need for fundamental defenses such as resource usage monitoring, detection of unauthorized processes, and access control is the same.</t>
        </is>
      </c>
      <c r="I608" s="16" t="inlineStr">
        <is>
          <t>Owing to their distributed structure, DID systems may maintain overall service continuity even if some nodes/servers are hijacked. In conventional systems with a centralized structure, damage can spread more widely.</t>
        </is>
      </c>
      <c r="J608" s="16" t="inlineStr">
        <is>
          <t>Monitor CPU, memory, and network usage of core resources such as authentication servers and clouds in real time, and strengthen automatic blocking and alerting when unauthorized processes or anomalous resource usage events occur. Manage administrator privileges/account access and software update policies with two-factor authentication, the least-privilege principle, etc.</t>
        </is>
      </c>
      <c r="K608" s="16" t="n"/>
      <c r="L608" s="16" t="inlineStr">
        <is>
          <t>https://attack.mitre.org/techniques/T1496</t>
        </is>
      </c>
    </row>
    <row r="609" ht="79.84999999999999" customHeight="1" s="7">
      <c r="A609" s="16" t="inlineStr">
        <is>
          <t>Impact</t>
        </is>
      </c>
      <c r="B609" s="16" t="inlineStr">
        <is>
          <t>T1489</t>
        </is>
      </c>
      <c r="C609" s="16" t="inlineStr">
        <is>
          <t>Service Stop</t>
        </is>
      </c>
      <c r="D609" s="16" t="n"/>
      <c r="E609" s="16" t="n"/>
      <c r="F609" s="16" t="inlineStr">
        <is>
          <t>Partial</t>
        </is>
      </c>
      <c r="G609" s="16" t="inlineStr">
        <is>
          <t>If the core services of a DID/VC system (authentication, issuance, verification, registry, etc.) are stopped, critical service interruptions occur, such as denial of service (DoS), authentication failure, and non-issuance of VCs. This is not tampering with on-chain data, but it directly affects service availability and continuity.</t>
        </is>
      </c>
      <c r="H609" s="16" t="inlineStr">
        <is>
          <t>When services are interrupted, normal authentication, data processing, log recording, etc. become impossible, greatly undermining service trustworthiness and availability. The need for basic service protection mechanisms such as service monitoring, automatic restart, and administrator alerts is the same.</t>
        </is>
      </c>
      <c r="I609" s="16" t="inlineStr">
        <is>
          <t>Because DID systems are partly distributed (multiple authentication servers, on-chain processes, etc.), the stop of a single service may not immediately lead to a failure of the entire system. Conventional systems with a centralized structure are more vulnerable to single failures.</t>
        </is>
      </c>
      <c r="J609" s="16" t="inlineStr">
        <is>
          <t>Minimize access rights to service stop commands and introduce automatic restart and monitoring for critical services. Prepare real-time administrator alerts when service interruption events occur, on-chain recording of anomalous event logs, and a rapid service recovery policy.</t>
        </is>
      </c>
      <c r="K609" s="16" t="n"/>
      <c r="L609" s="16" t="inlineStr">
        <is>
          <t>https://attack.mitre.org/techniques/T1489</t>
        </is>
      </c>
    </row>
    <row r="610" ht="79.84999999999999" customHeight="1" s="7">
      <c r="A610" s="16" t="inlineStr">
        <is>
          <t>Impact</t>
        </is>
      </c>
      <c r="B610" s="16" t="inlineStr">
        <is>
          <t>T1529</t>
        </is>
      </c>
      <c r="C610" s="16" t="inlineStr">
        <is>
          <t>System Shutdown/Reboot</t>
        </is>
      </c>
      <c r="D610" s="16" t="n"/>
      <c r="E610" s="16" t="n"/>
      <c r="F610" s="16" t="inlineStr">
        <is>
          <t>Partial</t>
        </is>
      </c>
      <c r="G610" s="16" t="inlineStr">
        <is>
          <t>If core servers or equipment for DID/VC authentication, VC issuance/verification, registries, etc. are forcibly shut down or rebooted, operational disruptions occur, such as temporary service interruption, authentication failure, and transaction delays. This is not tampering with on-chain data, but there may be an impact on availability and continuity.</t>
        </is>
      </c>
      <c r="H610" s="16" t="inlineStr">
        <is>
          <t>When a system shutdown/reboot occurs, service availability and trustworthiness are affected through service interruption, authentication failure, transaction delays, etc. Service continuity defenses such as restricting shutdown/reboot commands, automatic recovery, and administrator alerts are commonly needed.</t>
        </is>
      </c>
      <c r="I610" s="16" t="inlineStr">
        <is>
          <t>Owing to their distributed structure (operation of multiple servers/nodes, etc.), DID systems can be quickly substituted or recovered even when a single system fails. Conventional systems with a centralized structure are more vulnerable to single failures.</t>
        </is>
      </c>
      <c r="J610" s="16" t="inlineStr">
        <is>
          <t>Minimize access to system shutdown/reboot commands and prepare automatic recovery, redundancy, and rapid failover for critical services. Link shutdown/reboot events to real-time administrator alerts, on-chain event recording, failure recovery procedures, etc.</t>
        </is>
      </c>
      <c r="K610" s="16" t="n"/>
      <c r="L610" s="16" t="inlineStr">
        <is>
          <t>https://attack.mitre.org/techniques/T1529</t>
        </is>
      </c>
    </row>
    <row r="611" ht="102.2" customHeight="1" s="7">
      <c r="A611" s="16" t="inlineStr">
        <is>
          <t>Discovery</t>
        </is>
      </c>
      <c r="B611" s="16" t="inlineStr">
        <is>
          <t>T1087</t>
        </is>
      </c>
      <c r="C611" s="16" t="inlineStr">
        <is>
          <t>Account Discovery</t>
        </is>
      </c>
      <c r="D611" s="16" t="inlineStr">
        <is>
          <t>T1087.001</t>
        </is>
      </c>
      <c r="E611" s="16" t="inlineStr">
        <is>
          <t>Local Account</t>
        </is>
      </c>
      <c r="F611" s="16" t="inlineStr">
        <is>
          <t>Partial</t>
        </is>
      </c>
      <c r="G611" s="16" t="inlineStr">
        <is>
          <t>Conventional Account Discovery is the act of exploring user account information in operating system, cloud, and application environments for use in subsequent attacks (brute force, phishing, etc.). DID systems have no centralized account management, but some users' DIDs or presentation information can be inferred or explored through published DID documents, DID identifiers on the blockchain, VC issuance logs, etc.</t>
        </is>
      </c>
      <c r="H611" s="16" t="inlineStr">
        <is>
          <t>In DID systems as well, lists of users' DIDs or public key identifiers can be targets of attacker discovery. An attacker can collect valid DIDs, email-based DIDs, or public presentation history and use them in subsequent attacks (e.g., VC requests, submission of forged VCs, phishing).</t>
        </is>
      </c>
      <c r="I611" s="16" t="inlineStr">
        <is>
          <t>In conventional systems, accounts on the local OS, cloud accounts, Active Directory, etc. are the discovery targets. In DID systems, no account list exists on a central server, and DIDs are stored in user wallets in a distributed manner; therefore, discovery is difficult and the attack method differs.</t>
        </is>
      </c>
      <c r="J611" s="16" t="inlineStr">
        <is>
          <t>1) Account discovery via system/cloud APIs → discovery of the DID Document registry, VC submission logs, on-chain DID lists, etc.
2) Collection of user account names and emails → collection of DID identifiers (DID URIs) and public key fingerprints
3) Discovery of OS/directory service account information → discovery based on distributed stores (DID registry, VC history, etc.)</t>
        </is>
      </c>
      <c r="K611" s="16" t="n"/>
      <c r="L611" s="16" t="inlineStr">
        <is>
          <t>https://attack.mitre.org/techniques/T1087</t>
        </is>
      </c>
    </row>
    <row r="612" ht="102.2" customHeight="1" s="7">
      <c r="A612" s="16" t="inlineStr">
        <is>
          <t>Discovery</t>
        </is>
      </c>
      <c r="B612" s="16" t="inlineStr">
        <is>
          <t>T1087</t>
        </is>
      </c>
      <c r="C612" s="16" t="inlineStr">
        <is>
          <t>Account Discovery</t>
        </is>
      </c>
      <c r="D612" s="16" t="inlineStr">
        <is>
          <t>T1087.002</t>
        </is>
      </c>
      <c r="E612" s="16" t="inlineStr">
        <is>
          <t>Domain Account</t>
        </is>
      </c>
      <c r="F612" s="16" t="inlineStr">
        <is>
          <t>Partial</t>
        </is>
      </c>
      <c r="G612" s="16" t="inlineStr">
        <is>
          <t>Conventional Account Discovery is the act of exploring user account information in operating system, cloud, and application environments for use in subsequent attacks (brute force, phishing, etc.). DID systems have no centralized account management, but some users' DIDs or presentation information can be inferred or explored through published DID documents, DID identifiers on the blockchain, VC issuance logs, etc.</t>
        </is>
      </c>
      <c r="H612" s="16" t="inlineStr">
        <is>
          <t>In DID systems as well, lists of users' DIDs or public key identifiers can be targets of attacker discovery. An attacker can collect valid DIDs, email-based DIDs, or public presentation history and use them in subsequent attacks (e.g., VC requests, submission of forged VCs, phishing).</t>
        </is>
      </c>
      <c r="I612" s="16" t="inlineStr">
        <is>
          <t>In conventional systems, accounts on the local OS, cloud accounts, Active Directory, etc. are the discovery targets. In DID systems, no account list exists on a central server, and DIDs are stored in user wallets in a distributed manner; therefore, discovery is difficult and the attack method differs.</t>
        </is>
      </c>
      <c r="J612" s="16" t="inlineStr">
        <is>
          <t>1) Account discovery via system/cloud APIs → discovery of the DID Document registry, VC submission logs, on-chain DID lists, etc.
2) Collection of user account names and emails → collection of DID identifiers (DID URIs) and public key fingerprints
3) Discovery of OS/directory service account information → discovery based on distributed stores (DID registry, VC history, etc.)</t>
        </is>
      </c>
      <c r="K612" s="16" t="n"/>
      <c r="L612" s="16" t="inlineStr">
        <is>
          <t>https://attack.mitre.org/techniques/T1087</t>
        </is>
      </c>
    </row>
    <row r="613" ht="102.2" customHeight="1" s="7">
      <c r="A613" s="16" t="inlineStr">
        <is>
          <t>Discovery</t>
        </is>
      </c>
      <c r="B613" s="16" t="inlineStr">
        <is>
          <t>T1087</t>
        </is>
      </c>
      <c r="C613" s="16" t="inlineStr">
        <is>
          <t>Account Discovery</t>
        </is>
      </c>
      <c r="D613" s="16" t="inlineStr">
        <is>
          <t>T1087.003</t>
        </is>
      </c>
      <c r="E613" s="16" t="inlineStr">
        <is>
          <t>Email Account</t>
        </is>
      </c>
      <c r="F613" s="16" t="inlineStr">
        <is>
          <t>Partial</t>
        </is>
      </c>
      <c r="G613" s="16" t="inlineStr">
        <is>
          <t>Conventional Account Discovery is the act of exploring user account information in operating system, cloud, and application environments for use in subsequent attacks (brute force, phishing, etc.). DID systems have no centralized account management, but some users' DIDs or presentation information can be inferred or explored through published DID documents, DID identifiers on the blockchain, VC issuance logs, etc.</t>
        </is>
      </c>
      <c r="H613" s="16" t="inlineStr">
        <is>
          <t>In DID systems as well, lists of users' DIDs or public key identifiers can be targets of attacker discovery. An attacker can collect valid DIDs, email-based DIDs, or public presentation history and use them in subsequent attacks (e.g., VC requests, submission of forged VCs, phishing).</t>
        </is>
      </c>
      <c r="I613" s="16" t="inlineStr">
        <is>
          <t>In conventional systems, accounts on the local OS, cloud accounts, Active Directory, etc. are the discovery targets. In DID systems, no account list exists on a central server, and DIDs are stored in user wallets in a distributed manner; therefore, discovery is difficult and the attack method differs.</t>
        </is>
      </c>
      <c r="J613" s="16" t="inlineStr">
        <is>
          <t>1) Account discovery via system/cloud APIs → discovery of the DID Document registry, VC submission logs, on-chain DID lists, etc.
2) Collection of user account names and emails → collection of DID identifiers (DID URIs) and public key fingerprints
3) Discovery of OS/directory service account information → discovery based on distributed stores (DID registry, VC history, etc.)</t>
        </is>
      </c>
      <c r="K613" s="16" t="n"/>
      <c r="L613" s="16" t="inlineStr">
        <is>
          <t>https://attack.mitre.org/techniques/T1087</t>
        </is>
      </c>
    </row>
    <row r="614" ht="102.2" customHeight="1" s="7">
      <c r="A614" s="16" t="inlineStr">
        <is>
          <t>Discovery</t>
        </is>
      </c>
      <c r="B614" s="16" t="inlineStr">
        <is>
          <t>T1087</t>
        </is>
      </c>
      <c r="C614" s="16" t="inlineStr">
        <is>
          <t>Account Discovery</t>
        </is>
      </c>
      <c r="D614" s="16" t="inlineStr">
        <is>
          <t>T1087.004</t>
        </is>
      </c>
      <c r="E614" s="16" t="inlineStr">
        <is>
          <t>Cloud Account</t>
        </is>
      </c>
      <c r="F614" s="16" t="inlineStr">
        <is>
          <t>Partial</t>
        </is>
      </c>
      <c r="G614" s="16" t="inlineStr">
        <is>
          <t>Conventional Account Discovery is the act of exploring user account information in operating system, cloud, and application environments for use in subsequent attacks (brute force, phishing, etc.). DID systems have no centralized account management, but some users' DIDs or presentation information can be inferred or explored through published DID documents, DID identifiers on the blockchain, VC issuance logs, etc.</t>
        </is>
      </c>
      <c r="H614" s="16" t="inlineStr">
        <is>
          <t>In DID systems as well, lists of users' DIDs or public key identifiers can be targets of attacker discovery. An attacker can collect valid DIDs, email-based DIDs, or public presentation history and use them in subsequent attacks (e.g., VC requests, submission of forged VCs, phishing).</t>
        </is>
      </c>
      <c r="I614" s="16" t="inlineStr">
        <is>
          <t>In conventional systems, accounts on the local OS, cloud accounts, Active Directory, etc. are the discovery targets. In DID systems, no account list exists on a central server, and DIDs are stored in user wallets in a distributed manner; therefore, discovery is difficult and the attack method differs.</t>
        </is>
      </c>
      <c r="J614" s="16" t="inlineStr">
        <is>
          <t>1) Account discovery via system/cloud APIs → discovery of the DID Document registry, VC submission logs, on-chain DID lists, etc.
2) Collection of user account names and emails → collection of DID identifiers (DID URIs) and public key fingerprints
3) Discovery of OS/directory service account information → discovery based on distributed stores (DID registry, VC history, etc.)</t>
        </is>
      </c>
      <c r="K614" s="16" t="n"/>
      <c r="L614" s="16" t="inlineStr">
        <is>
          <t>https://attack.mitre.org/techniques/T1087</t>
        </is>
      </c>
    </row>
    <row r="615" ht="102.2" customHeight="1" s="7">
      <c r="A615" s="16" t="inlineStr">
        <is>
          <t>Discovery</t>
        </is>
      </c>
      <c r="B615" s="16" t="inlineStr">
        <is>
          <t>T1010</t>
        </is>
      </c>
      <c r="C615" s="16" t="inlineStr">
        <is>
          <t>Application Window Discovery</t>
        </is>
      </c>
      <c r="D615" s="16" t="n"/>
      <c r="E615" s="16" t="n"/>
      <c r="F615" s="16" t="inlineStr">
        <is>
          <t>No</t>
        </is>
      </c>
      <c r="G615" s="16" t="inlineStr">
        <is>
          <t>Application Window Discovery is an attack that detects information about running application windows at the OS GUI level and generally focuses on exploring the user's local system environment. In contrast, DID systems are structures designed for authentication and identity verification, centered on wallet apps or responses to authentication requests; apart from VCs/VPs that the user voluntarily provides, an attacker obtains no authentication information by viewing application windows.</t>
        </is>
      </c>
      <c r="H615" s="16" t="inlineStr">
        <is>
          <t>-</t>
        </is>
      </c>
      <c r="I615" s="16" t="inlineStr">
        <is>
          <t>Application Window Discovery: collects the list of GUI application windows running on the system (for purposes such as detecting security tools and analyzing user behavior). DID systems: an authentication structure based on explicit user consent, such as VC/VP submission via a wallet app and private-key-based signing, so information cannot be collected by window discovery alone.</t>
        </is>
      </c>
      <c r="J615" s="16" t="inlineStr">
        <is>
          <t>-</t>
        </is>
      </c>
      <c r="K615" s="16" t="n"/>
      <c r="L615" s="16" t="inlineStr">
        <is>
          <t>https://attack.mitre.org/techniques/T1010</t>
        </is>
      </c>
    </row>
    <row r="616" ht="135.8" customHeight="1" s="7">
      <c r="A616" s="16" t="inlineStr">
        <is>
          <t>Discovery</t>
        </is>
      </c>
      <c r="B616" s="16" t="inlineStr">
        <is>
          <t>T1217</t>
        </is>
      </c>
      <c r="C616" s="16" t="inlineStr">
        <is>
          <t>Browser Information Discovery</t>
        </is>
      </c>
      <c r="D616" s="16" t="n"/>
      <c r="E616" s="16" t="n"/>
      <c r="F616" s="16" t="inlineStr">
        <is>
          <t>Partial</t>
        </is>
      </c>
      <c r="G616" s="16" t="inlineStr">
        <is>
          <t>Browser Information Discovery collects information within the browser (history, saved accounts, etc.) to explore the user's digital activity patterns or the possibility of accessing authentication information. Because VC/VP requests and submissions in DID systems are often made through web browsers, there is a possibility of information exposure when a browser-based DID wallet is used.</t>
        </is>
      </c>
      <c r="H616" s="16" t="inlineStr">
        <is>
          <t>Authentication or related data can be stored and managed in the browser environment (e.g., when a browser extension wallet is used, some DID/VC-related information may be stored). Further intrusion is possible by exploring information related to the user's authentication flow.</t>
        </is>
      </c>
      <c r="I616" s="16" t="inlineStr">
        <is>
          <t>Browser Information Discovery targets general web usage patterns such as user habits, visited sites, and saved logins. DID systems do not store sensitive information (private keys, original VCs, etc.) in the browser and protect it mostly through wallet apps, secure enclaves, etc.</t>
        </is>
      </c>
      <c r="J616" s="16" t="inlineStr">
        <is>
          <t>(1) Exploring general browser information (bookmarks, history, saved accounts, etc.) to infer the user's interests and accessed systems → exploring DID-related browser activity information (e.g., DID wallet usage records, VC issuance/submission history, authentication request URLs)
(2) Checking web session information in browser cookies and session storage → considering the possibility of checking DID session-related cookies, tokens, authentication flow information, etc. stored during VC submission</t>
        </is>
      </c>
      <c r="K616" s="16" t="n"/>
      <c r="L616" s="16" t="inlineStr">
        <is>
          <t>https://attack.mitre.org/techniques/T1217</t>
        </is>
      </c>
    </row>
    <row r="617" ht="91" customHeight="1" s="7">
      <c r="A617" s="16" t="inlineStr">
        <is>
          <t>Discovery</t>
        </is>
      </c>
      <c r="B617" s="16" t="inlineStr">
        <is>
          <t>T1580</t>
        </is>
      </c>
      <c r="C617" s="16" t="inlineStr">
        <is>
          <t>Cloud Infrastructure Discovery</t>
        </is>
      </c>
      <c r="D617" s="16" t="n"/>
      <c r="E617" s="16" t="n"/>
      <c r="F617" s="16" t="inlineStr">
        <is>
          <t>Partial</t>
        </is>
      </c>
      <c r="G617" s="16" t="inlineStr">
        <is>
          <t>Cloud Infrastructure Discovery is a technique for identifying structural elements of a cloud infrastructure environment (VMs, storage, etc.). Because DID systems also contain distributed identity infrastructure components (DID Registry, VC issuance/verification services, Holder wallets, etc.), similar resource discovery scenarios can apply.</t>
        </is>
      </c>
      <c r="H617" s="16" t="inlineStr">
        <is>
          <t>Both involve activities that aim to identify resources within a distributed system. An attacker may attempt discovery to identify authentication means or issuing entities.</t>
        </is>
      </c>
      <c r="I617" s="16" t="inlineStr">
        <is>
          <t>Cloud infrastructure centers on physical and virtual infrastructure (compute, storage). DID centers on identity and authentication infrastructure and has no explicit VMs or instances as in the cloud.</t>
        </is>
      </c>
      <c r="J617" s="16" t="inlineStr">
        <is>
          <t>(1) Using APIs that enumerate infrastructure resources such as AWS instances and GCP VMs → using APIs that enumerate DID components such as the DID Registry, VC issuers, and presentation verifiers
(2) Using az vm list, gcloud compute instances list, etc. → replaced by did:example: issuance list query APIs, exploration of VC issuer lists, etc.</t>
        </is>
      </c>
      <c r="K617" s="16" t="n"/>
      <c r="L617" s="16" t="inlineStr">
        <is>
          <t>https://attack.mitre.org/techniques/T1580</t>
        </is>
      </c>
    </row>
    <row r="618" ht="102.2" customHeight="1" s="7">
      <c r="A618" s="16" t="inlineStr">
        <is>
          <t>Discovery</t>
        </is>
      </c>
      <c r="B618" s="16" t="inlineStr">
        <is>
          <t>T1538</t>
        </is>
      </c>
      <c r="C618" s="16" t="inlineStr">
        <is>
          <t>Cloud Service Dashboard</t>
        </is>
      </c>
      <c r="D618" s="16" t="n"/>
      <c r="E618" s="16" t="n"/>
      <c r="F618" s="16" t="inlineStr">
        <is>
          <t>Partial</t>
        </is>
      </c>
      <c r="G618" s="16" t="inlineStr">
        <is>
          <t>Visual resource discovery through cloud dashboards does not have a structure directly identical to DID systems, but similar visually based information acquisition exists in that, in DID systems too, the status of credential information or activity history can be explored through user wallet app UIs, VC management screens, log/history dashboards, etc.</t>
        </is>
      </c>
      <c r="H618" s="16" t="inlineStr">
        <is>
          <t>In both, users or attackers can explore sensitive information (permissions, credential information, resource access information, etc.) through a GUI. The credential-based resource access flow can be understood.</t>
        </is>
      </c>
      <c r="I618" s="16" t="inlineStr">
        <is>
          <t>Cloud dashboards access large numbers of resources based on centralized administrator or user accounts. DID manages only VCs, VPs, etc., centered on individual user wallets, and the scope is relatively limited. In cloud dashboards, numerous resources can be exposed when administrator privileges are stolen, whereas in DID exposure is usually confined to individual-level privileges.</t>
        </is>
      </c>
      <c r="J618" s="16" t="inlineStr">
        <is>
          <t>(1) Accessing the cloud dashboard → accessing the DID wallet or administrator UI
(2) Exploring cloud resource configuration information → exploring VC/VP lists, issuance/verification history, and usage history
(3) An attacker accessing the dashboard with a stolen cloud account → an attacker accessing the wallet app or DID dashboard with a stolen DID authentication key</t>
        </is>
      </c>
      <c r="K618" s="16" t="n"/>
      <c r="L618" s="16" t="inlineStr">
        <is>
          <t>https://attack.mitre.org/techniques/T1538</t>
        </is>
      </c>
    </row>
    <row r="619" ht="79.84999999999999" customHeight="1" s="7">
      <c r="A619" s="16" t="inlineStr">
        <is>
          <t>Discovery</t>
        </is>
      </c>
      <c r="B619" s="16" t="inlineStr">
        <is>
          <t>T1526</t>
        </is>
      </c>
      <c r="C619" s="16" t="inlineStr">
        <is>
          <t>Cloud Service Discovery</t>
        </is>
      </c>
      <c r="D619" s="16" t="n"/>
      <c r="E619" s="16" t="n"/>
      <c r="F619" s="16" t="inlineStr">
        <is>
          <t>Partial</t>
        </is>
      </c>
      <c r="G619" s="16" t="inlineStr">
        <is>
          <t>Enumerating service/resource information in a cloud environment relies on a centralized infrastructure management structure. Because DID systems are decentralized and center on individual users' storage and submission of VCs/VPs, discovery of the entire service is structurally limited. However, some similar metadata discovery may be possible within the DID ecosystem (e.g., lists of trusted issuers, permitted VP formats).</t>
        </is>
      </c>
      <c r="H619" s="16" t="inlineStr">
        <is>
          <t>Discovery of available services/entities is required before authentication or resource access. Information discovery for policy-based access control is a prerequisite.</t>
        </is>
      </c>
      <c r="I619" s="16" t="inlineStr">
        <is>
          <t>Cloud service discovery: a central service provider (Azure, AWS, etc.) owns all resource/service information and exposes it via APIs. DID: only the user's own identifiers and credentials are accessible, and the overall system structure or resource list is not provided.</t>
        </is>
      </c>
      <c r="J619" s="16" t="inlineStr">
        <is>
          <t>(1) Enumerating cloud resources and exploring APIs → exploring DID metadata (Trust Registry, VP format spec, authentication policy information, etc.)
(2) Enumerating all services with a privileged account → querying the lists of VC/VP issuers/verifiers accessible to the user</t>
        </is>
      </c>
      <c r="K619" s="16" t="n"/>
      <c r="L619" s="16" t="inlineStr">
        <is>
          <t>https://attack.mitre.org/techniques/T1526</t>
        </is>
      </c>
    </row>
    <row r="620" ht="68.65000000000001" customHeight="1" s="7">
      <c r="A620" s="16" t="inlineStr">
        <is>
          <t>Discovery</t>
        </is>
      </c>
      <c r="B620" s="16" t="inlineStr">
        <is>
          <t>T1619</t>
        </is>
      </c>
      <c r="C620" s="16" t="inlineStr">
        <is>
          <t>Cloud Storage Object Discovery</t>
        </is>
      </c>
      <c r="D620" s="16" t="n"/>
      <c r="E620" s="16" t="n"/>
      <c r="F620" s="16" t="inlineStr">
        <is>
          <t>Partial</t>
        </is>
      </c>
      <c r="G620" s="16" t="inlineStr">
        <is>
          <t>Cloud storage object discovery is based on access to centralized storage, but in DID systems too, similar object discovery threats can arise depending on where VCs are stored (wallets, etc.). In particular, when a user's DID wallet is backed up to the cloud or operates as a server-based DID Wallet that stores VCs, there is a risk of discovery or indexing via the corresponding APIs.</t>
        </is>
      </c>
      <c r="H620" s="16" t="inlineStr">
        <is>
          <t>Information is collected by enumerating or searching objects inside storage that holds authentication/identification information. Attempts may be made to view object lists using the tokens/credentials of privileged entities.</t>
        </is>
      </c>
      <c r="I620" s="16" t="inlineStr">
        <is>
          <t>Cloud object discovery generally targets files/data and relies on open APIs or misconfigurations. In contrast, in DID systems VCs are usually stored locally in encrypted form on user devices or wallets, and API-based object enumeration is structurally limited or nonexistent.</t>
        </is>
      </c>
      <c r="J620" s="16" t="inlineStr">
        <is>
          <t>Cloud storage objects (API-based discovery) → attempts to view VC files/records on DID cloud wallets or backup servers</t>
        </is>
      </c>
      <c r="K620" s="16" t="n"/>
      <c r="L620" s="16" t="inlineStr">
        <is>
          <t>https://attack.mitre.org/techniques/T1619</t>
        </is>
      </c>
    </row>
    <row r="621" ht="68.65000000000001" customHeight="1" s="7">
      <c r="A621" s="16" t="inlineStr">
        <is>
          <t>Discovery</t>
        </is>
      </c>
      <c r="B621" s="16" t="inlineStr">
        <is>
          <t>T1613</t>
        </is>
      </c>
      <c r="C621" s="16" t="inlineStr">
        <is>
          <t>Container and Resource Discovery</t>
        </is>
      </c>
      <c r="D621" s="16" t="n"/>
      <c r="E621" s="16" t="n"/>
      <c r="F621" s="16" t="inlineStr">
        <is>
          <t>Partial</t>
        </is>
      </c>
      <c r="G621" s="16" t="inlineStr">
        <is>
          <t>In DID systems, similar acts of viewing VCs/VPs, keys, connected issuer information, etc. in the wallet exist. However, the access method and the APIs used are entirely different (central server-based vs. user local wallet-based).</t>
        </is>
      </c>
      <c r="H621" s="16" t="inlineStr">
        <is>
          <t>Both have the same purpose in terms of viewing resources. In both, an attacker can use this to understand the internal configuration for follow-up actions (e.g., VC theft, illegitimate issuance, evasion of tamper detection).</t>
        </is>
      </c>
      <c r="I621" s="16" t="inlineStr">
        <is>
          <t>In container environments, various resources can be checked in bulk through centralized APIs (K8s API, Docker CLI, etc.). In contrast, in DID systems the user must explicitly consent, or the information structure inside the wallet must be queried manually.</t>
        </is>
      </c>
      <c r="J621" s="16" t="inlineStr">
        <is>
          <t>Discovering resources in a cluster via the Kubernetes API → discovering and analyzing APIs that query VCs, keys, connection information, etc. inside DID wallets/services</t>
        </is>
      </c>
      <c r="K621" s="16" t="n"/>
      <c r="L621" s="16" t="inlineStr">
        <is>
          <t>https://attack.mitre.org/techniques/T1613</t>
        </is>
      </c>
    </row>
    <row r="622" ht="91" customHeight="1" s="7">
      <c r="A622" s="16" t="inlineStr">
        <is>
          <t>Discovery</t>
        </is>
      </c>
      <c r="B622" s="16" t="inlineStr">
        <is>
          <t>T1622</t>
        </is>
      </c>
      <c r="C622" s="16" t="inlineStr">
        <is>
          <t>Debugger Evasion</t>
        </is>
      </c>
      <c r="D622" s="16" t="n"/>
      <c r="E622" s="16" t="n"/>
      <c r="F622" s="16" t="inlineStr">
        <is>
          <t>No</t>
        </is>
      </c>
      <c r="G622" s="16" t="inlineStr">
        <is>
          <t>Debugger Evasion is a technique in which malware detects a debugger environment to avoid execution or hide its behavior; it has no direct relation to authentication systems or the DID architecture.</t>
        </is>
      </c>
      <c r="H622" s="16" t="inlineStr">
        <is>
          <t>-</t>
        </is>
      </c>
      <c r="I622" s="16" t="inlineStr">
        <is>
          <t>Debugger Evasion aims to hinder malware analysis. DID is a distributed authentication system whose structure is unrelated to whether debugging is taking place. Because the DID signing process is handled in the device's internal security module (Secure Enclave), it cannot be evaded through simple debugger detection.</t>
        </is>
      </c>
      <c r="J622" s="16" t="inlineStr">
        <is>
          <t>-</t>
        </is>
      </c>
      <c r="K622" s="16" t="n"/>
      <c r="L622" s="16" t="inlineStr">
        <is>
          <t>https://attack.mitre.org/techniques/T1622</t>
        </is>
      </c>
    </row>
    <row r="623" ht="46.25" customHeight="1" s="7">
      <c r="A623" s="16" t="inlineStr">
        <is>
          <t>Discovery</t>
        </is>
      </c>
      <c r="B623" s="16" t="inlineStr">
        <is>
          <t>T1652</t>
        </is>
      </c>
      <c r="C623" s="16" t="inlineStr">
        <is>
          <t>Device Driver Discovery</t>
        </is>
      </c>
      <c r="D623" s="16" t="n"/>
      <c r="E623" s="16" t="n"/>
      <c r="F623" s="16" t="inlineStr">
        <is>
          <t>Partial</t>
        </is>
      </c>
      <c r="G623" s="16" t="inlineStr">
        <is>
          <t>Device Driver Discovery is used to identify system functions, security software, vulnerabilities, etc. through device driver information. In DID systems too, targeting information about the OS/device environment in which the wallet app runs can expose security weaknesses.</t>
        </is>
      </c>
      <c r="H623" s="16" t="inlineStr">
        <is>
          <t>In both, device environment information can be used to attempt security bypass or privilege escalation. In both, information access can be attempted at the OS/device driver level.</t>
        </is>
      </c>
      <c r="I623" s="16" t="inlineStr">
        <is>
          <t>The general technique views kernel drivers directly. In DID, the environment in which the wallet app itself runs must be targeted, so only indirect access is possible.</t>
        </is>
      </c>
      <c r="J623" s="16" t="inlineStr">
        <is>
          <t>Device driver discovery → discovery of the DID wallet execution environment (OS, rooting status, security features)</t>
        </is>
      </c>
      <c r="K623" s="16" t="n"/>
      <c r="L623" s="16" t="inlineStr">
        <is>
          <t>https://attack.mitre.org/techniques/T1652</t>
        </is>
      </c>
    </row>
    <row r="624" ht="91" customHeight="1" s="7">
      <c r="A624" s="16" t="inlineStr">
        <is>
          <t>Discovery</t>
        </is>
      </c>
      <c r="B624" s="16" t="inlineStr">
        <is>
          <t>T1482</t>
        </is>
      </c>
      <c r="C624" s="16" t="inlineStr">
        <is>
          <t>Domain Trust Discovery</t>
        </is>
      </c>
      <c r="D624" s="16" t="n"/>
      <c r="E624" s="16" t="n"/>
      <c r="F624" s="16" t="inlineStr">
        <is>
          <t>No</t>
        </is>
      </c>
      <c r="G624" s="16" t="inlineStr">
        <is>
          <t>Domain trust is a concept that exists only in Active Directory-based centralized authentication structures; because DID is a fully decentralized authentication structure, there are no trust relationships between domains.</t>
        </is>
      </c>
      <c r="H624" s="16" t="inlineStr">
        <is>
          <t>-</t>
        </is>
      </c>
      <c r="I624" s="16" t="inlineStr">
        <is>
          <t>Domain Trust: in an Active Directory environment, domains delegate authentication to one another. DID: a structure in which users prove themselves directly; trust is attested by a third party (the issuer), but transmission and presentation are controlled by the user. The very concept of inter-domain trust delegation does not exist.</t>
        </is>
      </c>
      <c r="J624" s="16" t="inlineStr">
        <is>
          <t>-</t>
        </is>
      </c>
      <c r="K624" s="16" t="n"/>
      <c r="L624" s="16" t="inlineStr">
        <is>
          <t>https://attack.mitre.org/techniques/T1482</t>
        </is>
      </c>
    </row>
    <row r="625" ht="79.84999999999999" customHeight="1" s="7">
      <c r="A625" s="16" t="inlineStr">
        <is>
          <t>Discovery</t>
        </is>
      </c>
      <c r="B625" s="16" t="inlineStr">
        <is>
          <t>T1083</t>
        </is>
      </c>
      <c r="C625" s="16" t="inlineStr">
        <is>
          <t>File and Directory Discovery</t>
        </is>
      </c>
      <c r="D625" s="16" t="n"/>
      <c r="E625" s="16" t="n"/>
      <c r="F625" s="16" t="inlineStr">
        <is>
          <t>Partial</t>
        </is>
      </c>
      <c r="G625" s="16" t="inlineStr">
        <is>
          <t>File and Directory Discovery is the act of an attacker exploring specific files or directories in a system. DID systems may also have paths or related file structures for wallet apps or VC stores, and exploring these can reveal sensitive DID-related information. The difference, however, is that typical DID systems are not centralized and are designed so that key authentication means (private keys, VCs) are difficult to access through simple file discovery alone.</t>
        </is>
      </c>
      <c r="H625" s="16" t="inlineStr">
        <is>
          <t>Both are based on discovering files/directories on a particular system. Potential paths exist through which an attacker can discover sensitive information (VCs, private keys, etc.).</t>
        </is>
      </c>
      <c r="I625" s="16" t="inlineStr">
        <is>
          <t>File and Directory Discovery: key credential information can be exposed through simple discovery of plaintext files, configuration files, etc. DID systems: private keys are stored securely inside the wallet app, and access is protected (e.g., hardware security modules, encrypted storage).</t>
        </is>
      </c>
      <c r="J625" s="16" t="inlineStr">
        <is>
          <t>Not simple discovery; instead, analysis of and access attempts on the internal path structure of the VC store or wallet app</t>
        </is>
      </c>
      <c r="K625" s="16" t="n"/>
      <c r="L625" s="16" t="inlineStr">
        <is>
          <t>https://attack.mitre.org/techniques/T1083</t>
        </is>
      </c>
    </row>
    <row r="626" ht="79.84999999999999" customHeight="1" s="7">
      <c r="A626" s="16" t="inlineStr">
        <is>
          <t>Discovery</t>
        </is>
      </c>
      <c r="B626" s="16" t="inlineStr">
        <is>
          <t>T1615</t>
        </is>
      </c>
      <c r="C626" s="16" t="inlineStr">
        <is>
          <t>Group Policy Discovery</t>
        </is>
      </c>
      <c r="D626" s="16" t="n"/>
      <c r="E626" s="16" t="n"/>
      <c r="F626" s="16" t="inlineStr">
        <is>
          <t>Partial</t>
        </is>
      </c>
      <c r="G626" s="16" t="inlineStr">
        <is>
          <t>Group Policy is a structure for managing user/computer settings in a centralized directory-based environment. DID systems center on user-driven authentication and credential management in a decentralized structure. Despite the structural differences, the policy-based configuration/permission control aspect is similar.</t>
        </is>
      </c>
      <c r="H626" s="16" t="inlineStr">
        <is>
          <t>Both enable policy/configuration-based permission control. Both have functions for managing access rights for specific users or groups. This is important in that it is core information that affects how the system operates and its security.</t>
        </is>
      </c>
      <c r="I626" s="16" t="inlineStr">
        <is>
          <t>Group Policy: enforced from a central Active Directory server. DID: users autonomously select and submit the credentials they hold (VCs/VPs). Conventional systems operate with device/account-level policies, whereas DID operates at the level of authentication/identity proofing.</t>
        </is>
      </c>
      <c r="J626" s="16" t="inlineStr">
        <is>
          <t>Collection of central GPO-based policies → collection of DID-based policy declarations and access controls; viewing GPOs → querying policy status based on VC claims/smart contracts</t>
        </is>
      </c>
      <c r="K626" s="16" t="n"/>
      <c r="L626" s="16" t="inlineStr">
        <is>
          <t>https://attack.mitre.org/techniques/T1615</t>
        </is>
      </c>
    </row>
    <row r="627" ht="91" customHeight="1" s="7">
      <c r="A627" s="16" t="inlineStr">
        <is>
          <t>Discovery</t>
        </is>
      </c>
      <c r="B627" s="16" t="inlineStr">
        <is>
          <t>T1654</t>
        </is>
      </c>
      <c r="C627" s="16" t="inlineStr">
        <is>
          <t>Log Enumeration</t>
        </is>
      </c>
      <c r="D627" s="16" t="n"/>
      <c r="E627" s="16" t="n"/>
      <c r="F627" s="16" t="inlineStr">
        <is>
          <t>Partial</t>
        </is>
      </c>
      <c r="G627" s="16" t="inlineStr">
        <is>
          <t>Log Enumeration is the act of viewing system/service logs to identify authentication information, security settings, etc. DID systems can generate or use authentication-related logs, but they often do not use centralized log storage, so there is no direct match. However, it can partially apply in some configurations (e.g., when a DID system has a cloud backend or server logs).</t>
        </is>
      </c>
      <c r="H627" s="16" t="inlineStr">
        <is>
          <t>In both, information can be extracted from logs of authentication-related activities. If a DID system logs authentication requests and verification results, an attacker can analyze them to identify user behavior patterns, failed authentication attempts, etc.</t>
        </is>
      </c>
      <c r="I627" s="16" t="inlineStr">
        <is>
          <t>In conventional systems, logs accumulate on a central server or in a SIEM, but DID systems often use distributed or local storage, so access to logs itself is limited. Log Enumeration presupposes log structures tied to an operating system or service, but because DID systems have a different structure, it is difficult to apply as is.</t>
        </is>
      </c>
      <c r="J627" s="16" t="inlineStr">
        <is>
          <t>Not event log collection via a SIEM; instead, viewing authentication event logs stored by the DID backend or by users, or analyzing DID protocol network traffic to collect patterns</t>
        </is>
      </c>
      <c r="K627" s="16" t="n"/>
      <c r="L627" s="16" t="inlineStr">
        <is>
          <t>https://attack.mitre.org/techniques/T1654</t>
        </is>
      </c>
    </row>
    <row r="628" ht="91" customHeight="1" s="7">
      <c r="A628" s="16" t="inlineStr">
        <is>
          <t>Discovery</t>
        </is>
      </c>
      <c r="B628" s="16" t="inlineStr">
        <is>
          <t>T1046</t>
        </is>
      </c>
      <c r="C628" s="16" t="inlineStr">
        <is>
          <t>Network Service Discovery</t>
        </is>
      </c>
      <c r="D628" s="16" t="n"/>
      <c r="E628" s="16" t="n"/>
      <c r="F628" s="16" t="inlineStr">
        <is>
          <t>Partial</t>
        </is>
      </c>
      <c r="G628" s="16" t="inlineStr">
        <is>
          <t>Network Service Discovery is the activity of collecting open services in a network to prepare for authentication bypass or lateral movement. In DID systems, authentication generally takes place through interaction between the user device and the verifier rather than a central server, so the concept differs from traditional service discovery on a network. However, when a DID-based system is operated on-premises or in the cloud, the system can become a target of an attacker's scanning within the network, so a modified application is possible in this respect.</t>
        </is>
      </c>
      <c r="H628" s="16" t="inlineStr">
        <is>
          <t>Both involve acts of identifying assets or endpoints on the network. An attacker can target authentication servers, VC issuers, etc. for scanning.</t>
        </is>
      </c>
      <c r="I628" s="16" t="inlineStr">
        <is>
          <t>Network Service Discovery targets the internal ports/services that make up the authentication system itself. DID systems perform authentication itself through signature exchange between devices and verifier confirmation, so service discovery is not directly linked to the authentication procedure.</t>
        </is>
      </c>
      <c r="J628" s="16" t="inlineStr">
        <is>
          <t>Identification of services such as SMB, SSH, web servers, and DBs → identification of DID-based VC issuers/verifiers, wallet connection ports, etc.</t>
        </is>
      </c>
      <c r="K628" s="16" t="n"/>
      <c r="L628" s="16" t="inlineStr">
        <is>
          <t>https://attack.mitre.org/techniques/T1046</t>
        </is>
      </c>
    </row>
    <row r="629" ht="57.45" customHeight="1" s="7">
      <c r="A629" s="16" t="inlineStr">
        <is>
          <t>Discovery</t>
        </is>
      </c>
      <c r="B629" s="16" t="inlineStr">
        <is>
          <t>T1135</t>
        </is>
      </c>
      <c r="C629" s="16" t="inlineStr">
        <is>
          <t>Network Share Discovery</t>
        </is>
      </c>
      <c r="D629" s="16" t="n"/>
      <c r="E629" s="16" t="n"/>
      <c r="F629" s="16" t="inlineStr">
        <is>
          <t>Partial</t>
        </is>
      </c>
      <c r="G629" s="16" t="inlineStr">
        <is>
          <t>Conventional Network Share Discovery explores shared resources based on file and network resource sharing protocols (SMB) between clients and servers, whereas in the DID environment distributed storage, DID Document stores, etc. become discovery targets.</t>
        </is>
      </c>
      <c r="H629" s="16" t="inlineStr">
        <is>
          <t>Shared resources on the network are explored; information gathering for subsequent attacks can be performed in both the conventional attack environment and the DID environment; accessible data sources are identified.</t>
        </is>
      </c>
      <c r="I629" s="16" t="inlineStr">
        <is>
          <t>Files are shared using different protocols (conventionally SMB; in DID, a distributed approach).</t>
        </is>
      </c>
      <c r="J629" s="16" t="inlineStr">
        <is>
          <t>1) Conventionally, shared drives on remote systems can be queried using the net command; this can be replaced by searching for nodes that hold distributed DID data (IPFS nodes).</t>
        </is>
      </c>
      <c r="K629" s="16" t="n"/>
      <c r="L629" s="16" t="inlineStr">
        <is>
          <t>https://attack.mitre.org/techniques/T1135</t>
        </is>
      </c>
    </row>
    <row r="630" ht="46.25" customHeight="1" s="7">
      <c r="A630" s="16" t="inlineStr">
        <is>
          <t>Discovery</t>
        </is>
      </c>
      <c r="B630" s="16" t="inlineStr">
        <is>
          <t>T1040</t>
        </is>
      </c>
      <c r="C630" s="16" t="inlineStr">
        <is>
          <t>Network Sniffing</t>
        </is>
      </c>
      <c r="D630" s="16" t="n"/>
      <c r="E630" s="16" t="n"/>
      <c r="F630" s="16" t="inlineStr">
        <is>
          <t>Full</t>
        </is>
      </c>
      <c r="G630" s="16" t="inlineStr">
        <is>
          <t>Because VC presentation, DID Document exchange, authentication token transmission, etc. in the DID authentication process take place over the network, they are direct targets of sniffing.</t>
        </is>
      </c>
      <c r="H630" s="16" t="inlineStr">
        <is>
          <t>Information gathering through network traffic sniffing; interception of authentication-related data is possible; an attacker can carry out passive attacks in both environments.</t>
        </is>
      </c>
      <c r="I630" s="16" t="inlineStr">
        <is>
          <t>The conventional setting is a general network protocol environment (HTTP, FTP, etc.); DID involves DIDComm, VC presentation, and blockchain transaction environments.</t>
        </is>
      </c>
      <c r="J630" s="16" t="inlineStr">
        <is>
          <t>Applicable almost as is once the network protocols are mapped to the DID network environment.</t>
        </is>
      </c>
      <c r="K630" s="16" t="n"/>
      <c r="L630" s="16" t="inlineStr">
        <is>
          <t>https://attack.mitre.org/techniques/T1040</t>
        </is>
      </c>
    </row>
    <row r="631" ht="79.84999999999999" customHeight="1" s="7">
      <c r="A631" s="16" t="inlineStr">
        <is>
          <t>Discovery</t>
        </is>
      </c>
      <c r="B631" s="16" t="inlineStr">
        <is>
          <t>T1201</t>
        </is>
      </c>
      <c r="C631" s="16" t="inlineStr">
        <is>
          <t>Password Policy Discovery</t>
        </is>
      </c>
      <c r="D631" s="16" t="n"/>
      <c r="E631" s="16" t="n"/>
      <c r="F631" s="16" t="inlineStr">
        <is>
          <t>Partial</t>
        </is>
      </c>
      <c r="G631" s="16" t="inlineStr">
        <is>
          <t>DID uses cryptographic key-based rather than password-based authentication, but key management policies, wallet protection policies, etc. play a similar role.</t>
        </is>
      </c>
      <c r="H631" s="16" t="inlineStr">
        <is>
          <t>Formulating attack strategies by identifying authentication security policies; identifying weak security settings; possibility of brute-force attacks.</t>
        </is>
      </c>
      <c r="I631" s="16" t="inlineStr">
        <is>
          <t>Conventional: password length, complexity, and expiration policies. DID: key length, cryptographic algorithms, key rotation policies, and wallet protection methods.</t>
        </is>
      </c>
      <c r="J631" s="16" t="inlineStr">
        <is>
          <t>1) Password policy queries → replaced by key generation policies and cryptographic strength requirements
2) Account lockout policy → replaced by the DID authentication failure handling policy
3) Expiration policy → replaced by key rotation intervals and VC validity period policies</t>
        </is>
      </c>
      <c r="K631" s="16" t="n"/>
      <c r="L631" s="16" t="inlineStr">
        <is>
          <t>https://attack.mitre.org/techniques/T1201</t>
        </is>
      </c>
    </row>
    <row r="632" ht="68.65000000000001" customHeight="1" s="7">
      <c r="A632" s="16" t="inlineStr">
        <is>
          <t>Discovery</t>
        </is>
      </c>
      <c r="B632" s="16" t="inlineStr">
        <is>
          <t>T1120</t>
        </is>
      </c>
      <c r="C632" s="16" t="inlineStr">
        <is>
          <t>Peripheral Device Discovery</t>
        </is>
      </c>
      <c r="D632" s="16" t="n"/>
      <c r="E632" s="16" t="n"/>
      <c r="F632" s="16" t="inlineStr">
        <is>
          <t>Partial</t>
        </is>
      </c>
      <c r="G632" s="16" t="inlineStr">
        <is>
          <t>Applies only to DID-specific hardware such as hardware wallets, HSMs, and biometric devices rather than general peripherals.</t>
        </is>
      </c>
      <c r="H632" s="16" t="inlineStr">
        <is>
          <t>Identifying attack vectors through connected hardware devices; checking whether security devices are present; identifying hardware-based authentication methods.</t>
        </is>
      </c>
      <c r="I632" s="16" t="inlineStr">
        <is>
          <t>Conventional: keyboards, mice, printers, USB storage devices. DID: hardware wallets, HSMs, biometric readers, smart cards.</t>
        </is>
      </c>
      <c r="J632" s="16" t="inlineStr">
        <is>
          <t>1) USB device detection → replaced by the connection status of hardware DID wallets
2) Smart card readers → DID cards, hardware key devices
3) Biometric devices → biometric-based DID authentication systems</t>
        </is>
      </c>
      <c r="K632" s="16" t="n"/>
      <c r="L632" s="16" t="inlineStr">
        <is>
          <t>https://attack.mitre.org/techniques/T1120</t>
        </is>
      </c>
    </row>
    <row r="633" ht="91" customHeight="1" s="7">
      <c r="A633" s="16" t="inlineStr">
        <is>
          <t>Discovery</t>
        </is>
      </c>
      <c r="B633" s="16" t="inlineStr">
        <is>
          <t>T1069</t>
        </is>
      </c>
      <c r="C633" s="16" t="inlineStr">
        <is>
          <t>Permission Groups Discovery</t>
        </is>
      </c>
      <c r="D633" s="16" t="inlineStr">
        <is>
          <t>T1069.001</t>
        </is>
      </c>
      <c r="E633" s="16" t="inlineStr">
        <is>
          <t>Local Groups</t>
        </is>
      </c>
      <c r="F633" s="16" t="inlineStr">
        <is>
          <t>Partial</t>
        </is>
      </c>
      <c r="G633" s="16" t="inlineStr">
        <is>
          <t>In the DID environment, DID wallet management groups, local key management privileges, and DID service management privileges on individual nodes become more important attack targets than traditional OS groups.</t>
        </is>
      </c>
      <c r="H633" s="16" t="inlineStr">
        <is>
          <t>Identifying the privilege structure of the local system; identifying user groups with high privileges; discovering target groups for privilege escalation; identifying holders of local administrative privileges.</t>
        </is>
      </c>
      <c r="I633" s="16" t="inlineStr">
        <is>
          <t>Conventional: OS system groups (Administrators, Users, Power Users), service account groups, application-specific permission groups. DID: DID wallet administrator groups, local key management privileges, DID node operation groups, blockchain client administrators.</t>
        </is>
      </c>
      <c r="J633" s="16" t="inlineStr">
        <is>
          <t>1) net localgroup Administrators → querying DID wallet administrator groups
2) dscl . -list /Groups → listing local DID service groups
3) groups username → checking the user's DID-related permission groups
4) Local service groups → DID resolver and blockchain node service privileges</t>
        </is>
      </c>
      <c r="K633" s="16" t="n"/>
      <c r="L633" s="16" t="inlineStr">
        <is>
          <t>https://attack.mitre.org/techniques/T1069</t>
        </is>
      </c>
    </row>
    <row r="634" ht="91" customHeight="1" s="7">
      <c r="A634" s="16" t="inlineStr">
        <is>
          <t>Discovery</t>
        </is>
      </c>
      <c r="B634" s="16" t="inlineStr">
        <is>
          <t>T1069</t>
        </is>
      </c>
      <c r="C634" s="16" t="inlineStr">
        <is>
          <t>Permission Groups Discovery</t>
        </is>
      </c>
      <c r="D634" s="16" t="inlineStr">
        <is>
          <t>T1069.002</t>
        </is>
      </c>
      <c r="E634" s="16" t="inlineStr">
        <is>
          <t>Domain Groups</t>
        </is>
      </c>
      <c r="F634" s="16" t="inlineStr">
        <is>
          <t>Partial</t>
        </is>
      </c>
      <c r="G634" s="16" t="inlineStr">
        <is>
          <t>The DID ecosystem is inherently a distributed network structure in which DID network governance, issuer/verifier permission systems, and consortium blockchain permissions exist, similar to the concept of a domain.</t>
        </is>
      </c>
      <c r="H634" s="16" t="inlineStr">
        <is>
          <t>Identifying the network/domain-level privilege structure; identifying highly privileged domain administrators; discovering permission groups that can affect the entire network; analyzing centralized privilege management systems.</t>
        </is>
      </c>
      <c r="I634" s="16" t="inlineStr">
        <is>
          <t>Conventional: Active Directory domain groups (Domain Admins, Enterprise Admins), LDAP groups, domain controller privileges. DID: DID network governance groups, trusted issuer consortia, blockchain validator groups.</t>
        </is>
      </c>
      <c r="J634" s="16" t="inlineStr">
        <is>
          <t>1) net group /domain → querying groups of DID governance token holders
2) ldapsearch → querying the trusted issuer registry
3) Domain administrators → DID network administrators
4) Group policies → DID network policies and VC schema approval privileges</t>
        </is>
      </c>
      <c r="K634" s="16" t="n"/>
      <c r="L634" s="16" t="inlineStr">
        <is>
          <t>https://attack.mitre.org/techniques/T1069</t>
        </is>
      </c>
    </row>
    <row r="635" ht="102.2" customHeight="1" s="7">
      <c r="A635" s="16" t="inlineStr">
        <is>
          <t>Discovery</t>
        </is>
      </c>
      <c r="B635" s="16" t="inlineStr">
        <is>
          <t>T1069</t>
        </is>
      </c>
      <c r="C635" s="16" t="inlineStr">
        <is>
          <t>Permission Groups Discovery</t>
        </is>
      </c>
      <c r="D635" s="16" t="inlineStr">
        <is>
          <t>T1069.003</t>
        </is>
      </c>
      <c r="E635" s="16" t="inlineStr">
        <is>
          <t>Cloud Groups</t>
        </is>
      </c>
      <c r="F635" s="16" t="inlineStr">
        <is>
          <t>Partial</t>
        </is>
      </c>
      <c r="G635" s="16" t="inlineStr">
        <is>
          <t>Role-based groups such as issuers, verifiers, and administrators also exist in the DID ecosystem, and discovering such privilege structures can be used in attacks.</t>
        </is>
      </c>
      <c r="H635" s="16" t="inlineStr">
        <is>
          <t>Discovering role-based privilege structures; highly privileged accounts can be identified; information about users in a group can be collected.</t>
        </is>
      </c>
      <c r="I635" s="16" t="inlineStr">
        <is>
          <t>Structural differences: conventional systems use IAM (Identity and Access Management, a system that manages access rights to cloud resources) policies of cloud platforms, whereas DID uses smart contract-based roles, VC issuance privileges, and DID governance structures.</t>
        </is>
      </c>
      <c r="J635" s="16" t="inlineStr">
        <is>
          <t>1) Modify the conventional command 'Get-MsolRole', which retrieves roles and permission groups for Office 365 accounts, into a command that queries roles from smart contracts
2) Modify the Azure CLI into commands that call DID governance APIs
3) Cloud IAM policies can be replaced by a function that queries VC issuance privilege policies</t>
        </is>
      </c>
      <c r="K635" s="16" t="n"/>
      <c r="L635" s="16" t="inlineStr">
        <is>
          <t>https://attack.mitre.org/techniques/T1069</t>
        </is>
      </c>
    </row>
    <row r="636" ht="57.45" customHeight="1" s="7">
      <c r="A636" s="16" t="inlineStr">
        <is>
          <t>Discovery</t>
        </is>
      </c>
      <c r="B636" s="16" t="inlineStr">
        <is>
          <t>T1057</t>
        </is>
      </c>
      <c r="C636" s="16" t="inlineStr">
        <is>
          <t>Process Discovery</t>
        </is>
      </c>
      <c r="D636" s="16" t="n"/>
      <c r="E636" s="16" t="n"/>
      <c r="F636" s="16" t="inlineStr">
        <is>
          <t>Partial</t>
        </is>
      </c>
      <c r="G636" s="16" t="inlineStr">
        <is>
          <t>DID-related processes (wallets, blockchain nodes, DID services) become more important information than general system processes.</t>
        </is>
      </c>
      <c r="H636" s="16" t="inlineStr">
        <is>
          <t>Identifying the system's purpose through running services; identifying processes to target; detecting running security software.</t>
        </is>
      </c>
      <c r="I636" s="16" t="inlineStr">
        <is>
          <t>Conventional: general system processes and applications. DID: DID wallet processes, blockchain nodes, DID resolver services.</t>
        </is>
      </c>
      <c r="J636" s="16" t="inlineStr">
        <is>
          <t>1) tasklist, ps → detecting DID-related processes
2) Process analysis → identifying wallet software and blockchain clients
3) Service processes → detecting DID resolver and VC management services</t>
        </is>
      </c>
      <c r="K636" s="16" t="n"/>
      <c r="L636" s="16" t="inlineStr">
        <is>
          <t>https://attack.mitre.org/techniques/T1057</t>
        </is>
      </c>
    </row>
    <row r="637" ht="68.65000000000001" customHeight="1" s="7">
      <c r="A637" s="16" t="inlineStr">
        <is>
          <t>Discovery</t>
        </is>
      </c>
      <c r="B637" s="16" t="inlineStr">
        <is>
          <t>T1012</t>
        </is>
      </c>
      <c r="C637" s="16" t="inlineStr">
        <is>
          <t>Query Registry</t>
        </is>
      </c>
      <c r="D637" s="16" t="n"/>
      <c r="E637" s="16" t="n"/>
      <c r="F637" s="16" t="inlineStr">
        <is>
          <t>Partial</t>
        </is>
      </c>
      <c r="G637" s="16" t="inlineStr">
        <is>
          <t>The Windows registry has low direct relevance to the DID environment, but DID Document and blockchain state queries play a similar role.</t>
        </is>
      </c>
      <c r="H637" s="16" t="inlineStr">
        <is>
          <t>Collecting system configuration information; exploring software configuration information; checking security settings and policies.</t>
        </is>
      </c>
      <c r="I637" s="16" t="inlineStr">
        <is>
          <t>Conventional: Windows registry keys/values and system settings. DID: DID Document properties, blockchain settings, smart contract state.</t>
        </is>
      </c>
      <c r="J637" s="16" t="inlineStr">
        <is>
          <t>1) Registry queries → replaced by queries of DID Document properties
2) System settings → DID resolver settings and blockchain connection configuration
3) Software information → DID wallet settings and key storage paths</t>
        </is>
      </c>
      <c r="K637" s="16" t="n"/>
      <c r="L637" s="16" t="inlineStr">
        <is>
          <t>https://attack.mitre.org/techniques/T1012</t>
        </is>
      </c>
    </row>
    <row r="638" ht="68.65000000000001" customHeight="1" s="7">
      <c r="A638" s="16" t="inlineStr">
        <is>
          <t>Discovery</t>
        </is>
      </c>
      <c r="B638" s="16" t="inlineStr">
        <is>
          <t>T1018</t>
        </is>
      </c>
      <c r="C638" s="16" t="inlineStr">
        <is>
          <t>Remote System Discovery</t>
        </is>
      </c>
      <c r="D638" s="16" t="n"/>
      <c r="E638" s="16" t="n"/>
      <c r="F638" s="16" t="inlineStr">
        <is>
          <t>Full</t>
        </is>
      </c>
      <c r="G638" s="16" t="inlineStr">
        <is>
          <t>A DID network consists of distributed nodes, and an attacker can discover other nodes, verifiers, and issuer systems in the DID network.</t>
        </is>
      </c>
      <c r="H638" s="16" t="inlineStr">
        <is>
          <t>Discovering other systems on the network; identifying targets for lateral movement; identifying the network topology.</t>
        </is>
      </c>
      <c r="I638" s="16" t="inlineStr">
        <is>
          <t>Conventional: discovery based on IP addresses and hostnames. DID: discovery based on DID URIs, service endpoints, and blockchain nodes.</t>
        </is>
      </c>
      <c r="J638" s="16" t="inlineStr">
        <is>
          <t>1) ping, net view → replaced by DID resolver queries and service endpoint discovery
2) IP/hostname scanning → DID network node discovery
3) Network mapping → DID service topology mapping</t>
        </is>
      </c>
      <c r="K638" s="16" t="n"/>
      <c r="L638" s="16" t="inlineStr">
        <is>
          <t>https://attack.mitre.org/techniques/T1018</t>
        </is>
      </c>
    </row>
    <row r="639" ht="68.65000000000001" customHeight="1" s="7">
      <c r="A639" s="16" t="inlineStr">
        <is>
          <t>Discovery</t>
        </is>
      </c>
      <c r="B639" s="16" t="inlineStr">
        <is>
          <t>T1518</t>
        </is>
      </c>
      <c r="C639" s="16" t="inlineStr">
        <is>
          <t>Software Discovery</t>
        </is>
      </c>
      <c r="D639" s="16" t="inlineStr">
        <is>
          <t>T1518.001</t>
        </is>
      </c>
      <c r="E639" s="16" t="inlineStr">
        <is>
          <t>Security Software Discovery</t>
        </is>
      </c>
      <c r="F639" s="16" t="inlineStr">
        <is>
          <t>Partial</t>
        </is>
      </c>
      <c r="G639" s="16" t="inlineStr">
        <is>
          <t>DID-specific software (wallets, blockchain clients, DID libraries) rather than general software becomes the main discovery target.</t>
        </is>
      </c>
      <c r="H639" s="16" t="inlineStr">
        <is>
          <t>Assessing attack possibilities through the list of installed software; formulating evasion strategies by detecting security software; planning exploitation of vulnerabilities in specific software.</t>
        </is>
      </c>
      <c r="I639" s="16" t="inlineStr">
        <is>
          <t>Conventional: antivirus, firewalls, general applications. DID: DID wallets, blockchain nodes, DID resolvers, VC management tools.</t>
        </is>
      </c>
      <c r="J639" s="16" t="inlineStr">
        <is>
          <t>1) List of installed programs → detecting DID-related software
2) Security software detection → checking DID security tools and key management solutions
3) Service list → detecting DID resolver and blockchain node services</t>
        </is>
      </c>
      <c r="K639" s="16" t="n"/>
      <c r="L639" s="16" t="inlineStr">
        <is>
          <t>https://attack.mitre.org/techniques/T1518</t>
        </is>
      </c>
    </row>
    <row r="640" ht="57.45" customHeight="1" s="7">
      <c r="A640" s="16" t="inlineStr">
        <is>
          <t>Discovery</t>
        </is>
      </c>
      <c r="B640" s="16" t="inlineStr">
        <is>
          <t>T1082</t>
        </is>
      </c>
      <c r="C640" s="16" t="inlineStr">
        <is>
          <t>System Information Discovery</t>
        </is>
      </c>
      <c r="D640" s="16" t="n"/>
      <c r="E640" s="16" t="n"/>
      <c r="F640" s="16" t="inlineStr">
        <is>
          <t>Partial</t>
        </is>
      </c>
      <c r="G640" s="16" t="inlineStr">
        <is>
          <t>In DID systems, hardware-based wallets, security modules (HSM, Hardware Security Module), blockchain client versions, etc. become targets of system information discovery.</t>
        </is>
      </c>
      <c r="H640" s="16" t="inlineStr">
        <is>
          <t>System environment information can be collected; version information is explored to identify vulnerabilities; information can be collected to formulate attack strategies.</t>
        </is>
      </c>
      <c r="I640" s="16" t="inlineStr">
        <is>
          <t>Conventional: OS, hardware, installed software. DID: DID wallet type, blockchain client, cryptographic modules.</t>
        </is>
      </c>
      <c r="J640" s="16" t="inlineStr">
        <is>
          <t>1) The conventional systeminfo command can be replaced with a query of DID wallet information
2) Conventional software versions can be replaced with blockchain client and DID library versions</t>
        </is>
      </c>
      <c r="K640" s="16" t="n"/>
      <c r="L640" s="16" t="inlineStr">
        <is>
          <t>https://attack.mitre.org/techniques/T1082</t>
        </is>
      </c>
    </row>
    <row r="641" ht="68.65000000000001" customHeight="1" s="7">
      <c r="A641" s="16" t="inlineStr">
        <is>
          <t>Discovery</t>
        </is>
      </c>
      <c r="B641" s="16" t="inlineStr">
        <is>
          <t>T1614</t>
        </is>
      </c>
      <c r="C641" s="16" t="inlineStr">
        <is>
          <t>System Location Discovery</t>
        </is>
      </c>
      <c r="D641" s="16" t="inlineStr">
        <is>
          <t>T1614.001</t>
        </is>
      </c>
      <c r="E641" s="16" t="inlineStr">
        <is>
          <t>System Language Discovery</t>
        </is>
      </c>
      <c r="F641" s="16" t="inlineStr">
        <is>
          <t>No</t>
        </is>
      </c>
      <c r="G641" s="16" t="inlineStr">
        <is>
          <t>DID systems are not confined to use in a single country and, in particular, use W3C-based decentralized systems, so attacks that infer and track a user's geographic location from collected language settings are difficult.</t>
        </is>
      </c>
      <c r="H641" s="16" t="inlineStr">
        <is>
          <t>-</t>
        </is>
      </c>
      <c r="I641" s="16" t="inlineStr">
        <is>
          <t>Conventional: estimating geographic location from time zone, keyboard layout, and language settings to evade region-specific regulations. DID: a globally distributed network and an identity verification system without geographic constraints.</t>
        </is>
      </c>
      <c r="J641" s="16" t="inlineStr">
        <is>
          <t>-</t>
        </is>
      </c>
      <c r="K641" s="16" t="n"/>
      <c r="L641" s="16" t="inlineStr">
        <is>
          <t>https://attack.mitre.org/techniques/T1614</t>
        </is>
      </c>
    </row>
    <row r="642" ht="79.84999999999999" customHeight="1" s="7">
      <c r="A642" s="16" t="inlineStr">
        <is>
          <t>Discovery</t>
        </is>
      </c>
      <c r="B642" s="16" t="inlineStr">
        <is>
          <t>T1016</t>
        </is>
      </c>
      <c r="C642" s="16" t="inlineStr">
        <is>
          <t>System Network Configuration Discovery</t>
        </is>
      </c>
      <c r="D642" s="16" t="inlineStr">
        <is>
          <t>T1016.001</t>
        </is>
      </c>
      <c r="E642" s="16" t="inlineStr">
        <is>
          <t>Internet Connection Discovery</t>
        </is>
      </c>
      <c r="F642" s="16" t="inlineStr">
        <is>
          <t>Full</t>
        </is>
      </c>
      <c r="G642" s="16" t="inlineStr">
        <is>
          <t>Because DID systems require Internet connectivity to blockchain networks, DID resolvers, IPFS, etc., checking connectivity yields important information for an attacker.</t>
        </is>
      </c>
      <c r="H642" s="16" t="inlineStr">
        <is>
          <t>Determining communication possibilities by checking external network connectivity; assessing the possibility of connecting to external services; network constraints can be identified.</t>
        </is>
      </c>
      <c r="I642" s="16" t="inlineStr">
        <is>
          <t>Conventional: general Internet connectivity and website accessibility. DID: blockchain network connectivity, DID resolver accessibility, IPFS gateway connectivity.</t>
        </is>
      </c>
      <c r="J642" s="16" t="inlineStr">
        <is>
          <t>1) ping google.com → blockchain node connectivity tests (eth.nods.org, bitcoin.org, etc.)
2) HTTP GET requests → DID resolver endpoint connectivity tests
3) tracert → tracing routes to IPFS gateways
4) DNS queries → resolving blockchain service domains</t>
        </is>
      </c>
      <c r="K642" s="16" t="n"/>
      <c r="L642" s="16" t="inlineStr">
        <is>
          <t>https://attack.mitre.org/techniques/T1016</t>
        </is>
      </c>
    </row>
    <row r="643" ht="79.84999999999999" customHeight="1" s="7">
      <c r="A643" s="16" t="inlineStr">
        <is>
          <t>Discovery</t>
        </is>
      </c>
      <c r="B643" s="16" t="inlineStr">
        <is>
          <t>T1016</t>
        </is>
      </c>
      <c r="C643" s="16" t="inlineStr">
        <is>
          <t>System Network Configuration Discovery</t>
        </is>
      </c>
      <c r="D643" s="16" t="inlineStr">
        <is>
          <t>T1016.002</t>
        </is>
      </c>
      <c r="E643" s="16" t="inlineStr">
        <is>
          <t>Wi-Fi Discovery</t>
        </is>
      </c>
      <c r="F643" s="16" t="inlineStr">
        <is>
          <t>Partial</t>
        </is>
      </c>
      <c r="G643" s="16" t="inlineStr">
        <is>
          <t>Wi-Fi information itself is not directly related to DID, but it can be used for attacks on DID infrastructure or lateral movement via network access. In particular, the Wi-Fi connection information of DID-related IoT devices or hardware wallets is important.</t>
        </is>
      </c>
      <c r="H643" s="16" t="inlineStr">
        <is>
          <t>Lateral movement through collection of network access information; obtaining stored network credentials; using network information for further system compromise.</t>
        </is>
      </c>
      <c r="I643" s="16" t="inlineStr">
        <is>
          <t>Conventional: general Wi-Fi network information and access to enterprise networks. DID: DID IoT device networks, hardware wallet Wi-Fi settings, DID infrastructure networks.</t>
        </is>
      </c>
      <c r="J643" s="16" t="inlineStr">
        <is>
          <t>1) netsh wlan show profiles → DID-related IoT networks and hardware wallet Wi-Fi settings
2) Stored Wi-Fi passwords → access information for networks where DID infrastructure is located
3) Wi-Fi history → identifying networks of DID service provider offices and DID development environments</t>
        </is>
      </c>
      <c r="K643" s="16" t="n"/>
      <c r="L643" s="16" t="inlineStr">
        <is>
          <t>https://attack.mitre.org/techniques/T1016</t>
        </is>
      </c>
    </row>
    <row r="644" ht="68.65000000000001" customHeight="1" s="7">
      <c r="A644" s="16" t="inlineStr">
        <is>
          <t>Discovery</t>
        </is>
      </c>
      <c r="B644" s="16" t="inlineStr">
        <is>
          <t>T1049</t>
        </is>
      </c>
      <c r="C644" s="16" t="inlineStr">
        <is>
          <t>System Network Connections Discovery</t>
        </is>
      </c>
      <c r="D644" s="16" t="n"/>
      <c r="E644" s="16" t="n"/>
      <c r="F644" s="16" t="inlineStr">
        <is>
          <t>Partial</t>
        </is>
      </c>
      <c r="G644" s="16" t="inlineStr">
        <is>
          <t>DID service connections and blockchain peer connections become more meaningful information than general network connections.</t>
        </is>
      </c>
      <c r="H644" s="16" t="inlineStr">
        <is>
          <t>Identifying connected systems through active network connections; discovering target systems for lateral movement; analyzing network activity patterns.</t>
        </is>
      </c>
      <c r="I644" s="16" t="inlineStr">
        <is>
          <t>Conventional: TCP/UDP sockets, web server connections, database connections. DID: DID resolver connections, blockchain P2P connections, IPFS node connections.</t>
        </is>
      </c>
      <c r="J644" s="16" t="inlineStr">
        <is>
          <t>1) netstat, ss → DID service ports and blockchain node connection status
2) Active connection analysis → DID resolver communication
3) Listening ports → DID service endpoints and blockchain RPC ports</t>
        </is>
      </c>
      <c r="K644" s="16" t="n"/>
      <c r="L644" s="16" t="inlineStr">
        <is>
          <t>https://attack.mitre.org/techniques/T1049</t>
        </is>
      </c>
    </row>
    <row r="645" ht="91" customHeight="1" s="7">
      <c r="A645" s="16" t="inlineStr">
        <is>
          <t>Discovery</t>
        </is>
      </c>
      <c r="B645" s="16" t="inlineStr">
        <is>
          <t>T1033</t>
        </is>
      </c>
      <c r="C645" s="16" t="inlineStr">
        <is>
          <t>System Owner/User Discovery</t>
        </is>
      </c>
      <c r="D645" s="16" t="n"/>
      <c r="E645" s="16" t="n"/>
      <c r="F645" s="16" t="inlineStr">
        <is>
          <t>Partial</t>
        </is>
      </c>
      <c r="G645" s="16" t="inlineStr">
        <is>
          <t>Unlike traditional OS user accounts, in the DID environment DID owners, key administrators, wallet users, etc. become more important attack targets, and identifying them leads directly to theft of DID assets.</t>
        </is>
      </c>
      <c r="H645" s="16" t="inlineStr">
        <is>
          <t>Collecting system user information; identifying privileged users; analyzing user activity patterns; planning targeted attacks based on the collected user information.</t>
        </is>
      </c>
      <c r="I645" s="16" t="inlineStr">
        <is>
          <t>Conventional: OS login users, home directories, user groups, login session information, user profile settings. DID: DID owners and master key holders; DID wallet storage paths and key file directories; DID governance roles (issuer, verifier, validator); DID authentication sessions and VC presentation history; DID wallet settings and key management policies.</t>
        </is>
      </c>
      <c r="J645" s="16" t="inlineStr">
        <is>
          <t>1) whoami, id → currently active DID context and wallet account information
2) ls -la /home/* → checking DID wallet directories and key file ownership
3) last, who → DID authentication history and VC presentation logs
4) User group queries → checking DID governance roles and issuer/verifier privileges</t>
        </is>
      </c>
      <c r="K645" s="16" t="n"/>
      <c r="L645" s="16" t="inlineStr">
        <is>
          <t>https://attack.mitre.org/techniques/T1033</t>
        </is>
      </c>
    </row>
    <row r="646" ht="46.25" customHeight="1" s="7">
      <c r="A646" s="16" t="inlineStr">
        <is>
          <t>Discovery</t>
        </is>
      </c>
      <c r="B646" s="16" t="inlineStr">
        <is>
          <t>T1007</t>
        </is>
      </c>
      <c r="C646" s="16" t="inlineStr">
        <is>
          <t>System Service Discovery</t>
        </is>
      </c>
      <c r="D646" s="16" t="n"/>
      <c r="E646" s="16" t="n"/>
      <c r="F646" s="16" t="inlineStr">
        <is>
          <t>Partial</t>
        </is>
      </c>
      <c r="G646" s="16" t="inlineStr">
        <is>
          <t>Applies only to DID-specific services (DID resolvers, blockchain node services) rather than general system services.</t>
        </is>
      </c>
      <c r="H646" s="16" t="inlineStr">
        <is>
          <t>Identifying system functions through running services; identifying attackable services; planning service disruption attacks.</t>
        </is>
      </c>
      <c r="I646" s="16" t="inlineStr">
        <is>
          <t>Conventional: Windows/Linux system services. DID: DID resolver services, blockchain nodes, IPFS.</t>
        </is>
      </c>
      <c r="J646" s="16" t="inlineStr">
        <is>
          <t>1) Service list → mapped to blockchain nodes and DID resolver services
2) Auto-start services → mapped to identification of DID infrastructure services</t>
        </is>
      </c>
      <c r="K646" s="16" t="n"/>
      <c r="L646" s="16" t="inlineStr">
        <is>
          <t>https://attack.mitre.org/techniques/T1007</t>
        </is>
      </c>
    </row>
    <row r="647" ht="68.65000000000001" customHeight="1" s="7">
      <c r="A647" s="16" t="inlineStr">
        <is>
          <t>Discovery</t>
        </is>
      </c>
      <c r="B647" s="16" t="inlineStr">
        <is>
          <t>T1124</t>
        </is>
      </c>
      <c r="C647" s="16" t="inlineStr">
        <is>
          <t>System Time Discovery</t>
        </is>
      </c>
      <c r="D647" s="16" t="n"/>
      <c r="E647" s="16" t="n"/>
      <c r="F647" s="16" t="inlineStr">
        <is>
          <t>No</t>
        </is>
      </c>
      <c r="G647" s="16" t="inlineStr">
        <is>
          <t>DID systems operate in a distributed environment and do not rely on centralized time synchronization. Blockchain-based timestamps are determined through network consensus and are therefore unrelated to the local system time.</t>
        </is>
      </c>
      <c r="H647" s="16" t="inlineStr">
        <is>
          <t>Conventional: domain time synchronization via the Windows Time Service and authentication bypass through system clock manipulation. DID: time information is used only to a limited extent, for timestamp verification.</t>
        </is>
      </c>
      <c r="I647" s="16" t="inlineStr">
        <is>
          <t>Conventional: domain time synchronization via the Windows Time Service and authentication bypass through system clock manipulation. DID: timestamps based on distributed consensus in the blockchain network; local time manipulation does not affect DID authentication.</t>
        </is>
      </c>
      <c r="J647" s="16" t="inlineStr">
        <is>
          <t>-</t>
        </is>
      </c>
      <c r="K647" s="16" t="n"/>
      <c r="L647" s="16" t="inlineStr">
        <is>
          <t>https://attack.mitre.org/techniques/T1124</t>
        </is>
      </c>
    </row>
    <row r="648" ht="57.45" customHeight="1" s="7">
      <c r="A648" s="16" t="inlineStr">
        <is>
          <t>Discovery</t>
        </is>
      </c>
      <c r="B648" s="16" t="inlineStr">
        <is>
          <t>T1673</t>
        </is>
      </c>
      <c r="C648" s="16" t="inlineStr">
        <is>
          <t>Virtual Machine Discovery</t>
        </is>
      </c>
      <c r="D648" s="16" t="n"/>
      <c r="E648" s="16" t="n"/>
      <c r="F648" s="16" t="inlineStr">
        <is>
          <t>No</t>
        </is>
      </c>
      <c r="G648" s="16" t="inlineStr">
        <is>
          <t>The security of DID systems relies on cryptographic keys and digital signatures, and the execution environment (physical/virtual) does not affect the integrity of DID authentication.</t>
        </is>
      </c>
      <c r="H648" s="16" t="inlineStr">
        <is>
          <t>-</t>
        </is>
      </c>
      <c r="I648" s="16" t="inlineStr">
        <is>
          <t>Conventional: lateral movement plans are designed by enumerating VMs via the ESXi hypervisor and VMware vCenter. DID: the same level of cryptographic security is maintained in container or cloud environments.</t>
        </is>
      </c>
      <c r="J648" s="16" t="inlineStr">
        <is>
          <t>-</t>
        </is>
      </c>
      <c r="K648" s="16" t="n"/>
      <c r="L648" s="16" t="inlineStr">
        <is>
          <t>https://attack.mitre.org/techniques/T1673</t>
        </is>
      </c>
    </row>
    <row r="649" ht="57.45" customHeight="1" s="7">
      <c r="A649" s="16" t="inlineStr">
        <is>
          <t>Discovery</t>
        </is>
      </c>
      <c r="B649" s="16" t="inlineStr">
        <is>
          <t>T1497</t>
        </is>
      </c>
      <c r="C649" s="16" t="inlineStr">
        <is>
          <t>Virtualization/Sandbox Evasion</t>
        </is>
      </c>
      <c r="D649" s="16" t="inlineStr">
        <is>
          <t>T1497.001</t>
        </is>
      </c>
      <c r="E649" s="16" t="inlineStr">
        <is>
          <t>System Checks</t>
        </is>
      </c>
      <c r="F649" s="16" t="inlineStr">
        <is>
          <t>Full</t>
        </is>
      </c>
      <c r="G649" s="16" t="inlineStr">
        <is>
          <t>In the DID environment as well, distinguishing between testnet and mainnet and between development and production environments is important. Malware can evade DID security analysis environments.</t>
        </is>
      </c>
      <c r="H649" s="16" t="inlineStr">
        <is>
          <t>Evasion through detection of analysis environments; inspection of system artifacts; hindering dynamic analysis.</t>
        </is>
      </c>
      <c r="I649" s="16" t="inlineStr">
        <is>
          <t>Conventional: VM/sandbox artifacts. DID: testnet/devnet identifiers, detection of fake issuers.</t>
        </is>
      </c>
      <c r="J649" s="16" t="inlineStr">
        <is>
          <t>Replace conventional VM artifact checks with testnet chain ID checks; replace hardware checks with software module checks; replace network checks with checks of whether a development DID registry or production is used.</t>
        </is>
      </c>
      <c r="K649" s="16" t="n"/>
      <c r="L649" s="16" t="inlineStr">
        <is>
          <t>https://attack.mitre.org/techniques/T1497</t>
        </is>
      </c>
    </row>
    <row r="650" ht="57.45" customHeight="1" s="7">
      <c r="A650" s="16" t="inlineStr">
        <is>
          <t>Discovery</t>
        </is>
      </c>
      <c r="B650" s="16" t="inlineStr">
        <is>
          <t>T1497</t>
        </is>
      </c>
      <c r="C650" s="16" t="inlineStr">
        <is>
          <t>Virtualization/Sandbox Evasion</t>
        </is>
      </c>
      <c r="D650" s="16" t="inlineStr">
        <is>
          <t>T1497.002</t>
        </is>
      </c>
      <c r="E650" s="16" t="inlineStr">
        <is>
          <t>User Activity Based Checks</t>
        </is>
      </c>
      <c r="F650" s="16" t="inlineStr">
        <is>
          <t>No</t>
        </is>
      </c>
      <c r="G650" s="16" t="inlineStr">
        <is>
          <t>DID authentication is based on cryptographic proofs and is unrelated to physical activity patterns such as the user's mouse clicks and browser history. Automated DID authentication is possible, and user activity is not required.</t>
        </is>
      </c>
      <c r="H650" s="16" t="inlineStr">
        <is>
          <t>-</t>
        </is>
      </c>
      <c r="I650" s="16" t="inlineStr">
        <is>
          <t>Conventional: determining a real user environment from mouse movement, browser history, and file counts. DID: API-based automated authentication; a valid VC can be presented even without user interaction.</t>
        </is>
      </c>
      <c r="J650" s="16" t="inlineStr">
        <is>
          <t>-</t>
        </is>
      </c>
      <c r="K650" s="16" t="n"/>
      <c r="L650" s="16" t="inlineStr">
        <is>
          <t>https://attack.mitre.org/techniques/T1497</t>
        </is>
      </c>
    </row>
    <row r="651" ht="57.45" customHeight="1" s="7">
      <c r="A651" s="16" t="inlineStr">
        <is>
          <t>Discovery</t>
        </is>
      </c>
      <c r="B651" s="16" t="inlineStr">
        <is>
          <t>T1497</t>
        </is>
      </c>
      <c r="C651" s="16" t="inlineStr">
        <is>
          <t>Virtualization/Sandbox Evasion</t>
        </is>
      </c>
      <c r="D651" s="16" t="inlineStr">
        <is>
          <t>T1497.003</t>
        </is>
      </c>
      <c r="E651" s="16" t="inlineStr">
        <is>
          <t>Time Based Evasion</t>
        </is>
      </c>
      <c r="F651" s="16" t="inlineStr">
        <is>
          <t>No</t>
        </is>
      </c>
      <c r="G651" s="16" t="inlineStr">
        <is>
          <t>DID authentication can be executed immediately, and time delays do not significantly affect detection or analysis of DID systems. Blockchain-based verification can provide the same result regardless of time delays.</t>
        </is>
      </c>
      <c r="H651" s="16" t="inlineStr">
        <is>
          <t>-</t>
        </is>
      </c>
      <c r="I651" s="16" t="inlineStr">
        <is>
          <t>Conventional: exceeding sandbox time limits via sleep() functions and API hammering. DID: the blockchain network is always active, and verification is consistent regardless of time delays.</t>
        </is>
      </c>
      <c r="J651" s="16" t="inlineStr">
        <is>
          <t>-</t>
        </is>
      </c>
      <c r="K651" s="16" t="n"/>
      <c r="L651" s="16" t="inlineStr">
        <is>
          <t>https://attack.mitre.org/techniques/T1497</t>
        </is>
      </c>
    </row>
    <row r="652" ht="113.4" customHeight="1" s="7">
      <c r="A652" s="16" t="inlineStr">
        <is>
          <t>Lateral Movement</t>
        </is>
      </c>
      <c r="B652" s="16" t="inlineStr">
        <is>
          <t>T1210</t>
        </is>
      </c>
      <c r="C652" s="16" t="inlineStr">
        <is>
          <t>Exploitation of Remote Services</t>
        </is>
      </c>
      <c r="D652" s="16" t="n"/>
      <c r="E652" s="16" t="n"/>
      <c r="F652" s="16" t="inlineStr">
        <is>
          <t>Partial</t>
        </is>
      </c>
      <c r="G652" s="16" t="inlineStr">
        <is>
          <t>If DID/VC authentication servers, registries, issuance/verification APIs, etc. are exposed externally and vulnerabilities exist in remote services, an attacker can move laterally, resulting in threats such as system takeover, VC forgery and theft, and leakage of authentication information. On-chain data itself cannot be tampered with directly, but the indirect threat via off-chain servers/services is high.</t>
        </is>
      </c>
      <c r="H652" s="16" t="inlineStr">
        <is>
          <t>When remote service vulnerabilities exist, they become major paths for lateral movement, such as authentication bypass, internal expansion, and service takeover. Vulnerability management, network segregation, multi-factor authentication, access control, etc. are all needed.</t>
        </is>
      </c>
      <c r="I652" s="16" t="inlineStr">
        <is>
          <t>Because the DID environment is partly distributed and on-chain data is persistent, some authentication and verification logic can remain protected on-chain even after a service is taken over. In conventional systems, taking over a single server immediately puts the entire service at risk.</t>
        </is>
      </c>
      <c r="J652" s="16" t="inlineStr">
        <is>
          <t>Strengthen defenses for all remote services in DID/VC authentication systems (administrator SSH, issuance/verification APIs, etc.), such as applying the latest patches, disabling unnecessary services/ports, network segmentation, multi-factor authentication (2FA), and minimizing access rights. Monitor remote access attempts, authentication errors, and unauthorized access events in real time and link them to urgent administrator alerts.</t>
        </is>
      </c>
      <c r="K652" s="16" t="n"/>
      <c r="L652" s="16" t="inlineStr">
        <is>
          <t>https://attack.mitre.org/techniques/T1210</t>
        </is>
      </c>
    </row>
    <row r="653" ht="102.2" customHeight="1" s="7">
      <c r="A653" s="16" t="inlineStr">
        <is>
          <t>Lateral Movement</t>
        </is>
      </c>
      <c r="B653" s="16" t="inlineStr">
        <is>
          <t>T1534</t>
        </is>
      </c>
      <c r="C653" s="16" t="inlineStr">
        <is>
          <t>Internal Spearphishing</t>
        </is>
      </c>
      <c r="D653" s="16" t="n"/>
      <c r="E653" s="16" t="n"/>
      <c r="F653" s="16" t="inlineStr">
        <is>
          <t>Partial</t>
        </is>
      </c>
      <c r="G653" s="16" t="inlineStr">
        <is>
          <t>If administrators' email, messaging, or collaboration tool accounts in a DID/VC authentication system are compromised, indirect threats arise, such as further takeover of key accounts like internal issuers and verifiers, theft of authentication information, VC forgery, and malware propagation. Tampering with on-chain data itself is difficult, but off-chain services and user accounts become the main targets.</t>
        </is>
      </c>
      <c r="H653" s="16" t="inlineStr">
        <is>
          <t>Tailored phishing after taking over an internal account is an effective means of lateral movement. The need for countermeasures such as email/messenger security, user training, multi-factor authentication, and anomalous behavior monitoring is the same.</t>
        </is>
      </c>
      <c r="I653" s="16" t="inlineStr">
        <is>
          <t>Some threat mitigation is possible in DID systems, but accounts of off-chain issuance, management, and collaboration systems remain exposed to the threat.</t>
        </is>
      </c>
      <c r="J653" s="16" t="inlineStr">
        <is>
          <t>Strengthen user-centered defenses such as multi-factor authentication for internal accounts, automatic blocking and reporting processes for suspicious emails/messages, real-time anomaly detection, and phishing training. Prepare policies for automatic suspension of authentication and administrator approval when suspicious activity occurs on high-risk accounts such as issuers, verifiers, and administrators.</t>
        </is>
      </c>
      <c r="K653" s="16" t="n"/>
      <c r="L653" s="16" t="inlineStr">
        <is>
          <t>https://attack.mitre.org/techniques/T1534</t>
        </is>
      </c>
    </row>
    <row r="654" ht="91" customHeight="1" s="7">
      <c r="A654" s="16" t="inlineStr">
        <is>
          <t>Lateral Movement</t>
        </is>
      </c>
      <c r="B654" s="16" t="inlineStr">
        <is>
          <t>T1570</t>
        </is>
      </c>
      <c r="C654" s="16" t="inlineStr">
        <is>
          <t>Lateral Tool Transfer</t>
        </is>
      </c>
      <c r="D654" s="16" t="n"/>
      <c r="E654" s="16" t="n"/>
      <c r="F654" s="16" t="inlineStr">
        <is>
          <t>Partial</t>
        </is>
      </c>
      <c r="G654" s="16" t="inlineStr">
        <is>
          <t>If malicious tools propagate to issuers, verifiers, management servers, and other components in a DID/VC authentication environment, major threats such as VC forgery, authentication bypass, service takeover, and log deletion can materialize. On-chain data cannot be tampered with directly, but off-chain services and systems are put at risk.</t>
        </is>
      </c>
      <c r="H654" s="16" t="inlineStr">
        <is>
          <t>Propagation of malicious tools internally causes damage such as privilege escalation, authentication bypass, and service disruption. The need for basic defenses such as file transfer monitoring, network/account access control, and executable auditing is the same.</t>
        </is>
      </c>
      <c r="I654" s="16" t="inlineStr">
        <is>
          <t>In a DID environment, on-chain transactions and a distributed service architecture can spread out the risk of whole-system compromise. In conventional systems, the scope of damage propagation is larger because of the centralized environment.</t>
        </is>
      </c>
      <c r="J654" s="16" t="inlineStr">
        <is>
          <t>Define real-time monitoring and automatic blocking rules for internal file transfer events and the deployment and execution of new executables. Minimize file transfer/execution privileges on high-risk servers such as issuers, verifiers, and administrators, and introduce on-chain recording of file event logs and an administrator approval policy.</t>
        </is>
      </c>
      <c r="K654" s="16" t="n"/>
      <c r="L654" s="16" t="inlineStr">
        <is>
          <t>https://attack.mitre.org/techniques/T1570</t>
        </is>
      </c>
    </row>
    <row r="655" ht="91" customHeight="1" s="7">
      <c r="A655" s="16" t="inlineStr">
        <is>
          <t>Lateral Movement</t>
        </is>
      </c>
      <c r="B655" s="16" t="inlineStr">
        <is>
          <t>T1563</t>
        </is>
      </c>
      <c r="C655" s="16" t="inlineStr">
        <is>
          <t>Remote Service Session Hijacking</t>
        </is>
      </c>
      <c r="D655" s="16" t="inlineStr">
        <is>
          <t>T1563.001</t>
        </is>
      </c>
      <c r="E655" s="16" t="inlineStr">
        <is>
          <t>SSH Hijacking</t>
        </is>
      </c>
      <c r="F655" s="16" t="inlineStr">
        <is>
          <t>Partial</t>
        </is>
      </c>
      <c r="G655" s="16" t="inlineStr">
        <is>
          <t>When issuers, verifiers, administrators, and other parties of a DID/VC authentication system access services through remote sessions, session hijacking enables major threats such as VC forgery, data theft, and authentication bypass under legitimate privileges. On-chain data cannot be tampered with directly, but attacks through off-chain services and sessions are possible.</t>
        </is>
      </c>
      <c r="H655" s="16" t="inlineStr">
        <is>
          <t>Hijacking a remote service session can lead to authentication bypass, privilege escalation, and information theft. Session monitoring, multi-factor authentication, anomaly detection, and session restrictions are common defenses.</t>
        </is>
      </c>
      <c r="I655" s="16" t="inlineStr">
        <is>
          <t>In a DID system, the likelihood that hijacking a single session compromises the entire service is relatively low. In conventional systems, hijacking a single administrator session can put the entire system at risk.</t>
        </is>
      </c>
      <c r="J655" s="16" t="inlineStr">
        <is>
          <t>Introduce multi-factor authentication, continuous session authentication, timeouts, and on-chain recording of session history for all remote sessions. Apply immediate administrator alerts and automatic blocking policies for anomalous events such as concurrent sessions of the same account, session switching, and privilege escalation.</t>
        </is>
      </c>
      <c r="K655" s="16" t="n"/>
      <c r="L655" s="16" t="inlineStr">
        <is>
          <t>https://attack.mitre.org/techniques/T1563</t>
        </is>
      </c>
    </row>
    <row r="656" ht="91" customHeight="1" s="7">
      <c r="A656" s="16" t="inlineStr">
        <is>
          <t>Lateral Movement</t>
        </is>
      </c>
      <c r="B656" s="16" t="inlineStr">
        <is>
          <t>T1563</t>
        </is>
      </c>
      <c r="C656" s="16" t="inlineStr">
        <is>
          <t>Remote Service Session Hijacking</t>
        </is>
      </c>
      <c r="D656" s="16" t="inlineStr">
        <is>
          <t>T1563.002</t>
        </is>
      </c>
      <c r="E656" s="16" t="inlineStr">
        <is>
          <t>RDP Hijacking</t>
        </is>
      </c>
      <c r="F656" s="16" t="inlineStr">
        <is>
          <t>Partial</t>
        </is>
      </c>
      <c r="G656" s="16" t="inlineStr">
        <is>
          <t>When issuers, verifiers, administrators, and other parties of a DID/VC authentication system access services through remote sessions, session hijacking enables major threats such as VC forgery, data theft, and authentication bypass under legitimate privileges. On-chain data cannot be tampered with directly, but attacks through off-chain services and sessions are possible.</t>
        </is>
      </c>
      <c r="H656" s="16" t="inlineStr">
        <is>
          <t>Hijacking a remote service session can lead to authentication bypass, privilege escalation, and information theft. Session monitoring, multi-factor authentication, anomaly detection, and session restrictions are common defenses.</t>
        </is>
      </c>
      <c r="I656" s="16" t="inlineStr">
        <is>
          <t>In a DID system, the likelihood that hijacking a single session compromises the entire service is relatively low. In conventional systems, hijacking a single administrator session can put the entire system at risk.</t>
        </is>
      </c>
      <c r="J656" s="16" t="inlineStr">
        <is>
          <t>Introduce multi-factor authentication, continuous session authentication, timeouts, and on-chain recording of session history for all remote sessions. Apply immediate administrator alerts and automatic blocking policies for anomalous events such as concurrent sessions of the same account, session switching, and privilege escalation.</t>
        </is>
      </c>
      <c r="K656" s="16" t="n"/>
      <c r="L656" s="16" t="inlineStr">
        <is>
          <t>https://attack.mitre.org/techniques/T1563</t>
        </is>
      </c>
    </row>
    <row r="657" ht="79.84999999999999" customHeight="1" s="7">
      <c r="A657" s="16" t="inlineStr">
        <is>
          <t>Lateral Movement</t>
        </is>
      </c>
      <c r="B657" s="16" t="inlineStr">
        <is>
          <t>T1021</t>
        </is>
      </c>
      <c r="C657" s="16" t="inlineStr">
        <is>
          <t>Remote Services</t>
        </is>
      </c>
      <c r="D657" s="16" t="inlineStr">
        <is>
          <t>T1021.001</t>
        </is>
      </c>
      <c r="E657" s="16" t="inlineStr">
        <is>
          <t>Remote Desktop Protocol</t>
        </is>
      </c>
      <c r="F657" s="16" t="inlineStr">
        <is>
          <t>Partial</t>
        </is>
      </c>
      <c r="G657"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57"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57" s="16" t="inlineStr">
        <is>
          <t>In a DID environment, the risk of whole-service compromise can be spread out even if a single server is taken over. In conventional systems, damage propagates more widely because of the centralized environment.</t>
        </is>
      </c>
      <c r="J657"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57" s="16" t="n"/>
      <c r="L657" s="16" t="inlineStr">
        <is>
          <t>https://attack.mitre.org/techniques/T1021</t>
        </is>
      </c>
    </row>
    <row r="658" ht="79.84999999999999" customHeight="1" s="7">
      <c r="A658" s="16" t="inlineStr">
        <is>
          <t>Lateral Movement</t>
        </is>
      </c>
      <c r="B658" s="16" t="inlineStr">
        <is>
          <t>T1021</t>
        </is>
      </c>
      <c r="C658" s="16" t="inlineStr">
        <is>
          <t>Remote Services</t>
        </is>
      </c>
      <c r="D658" s="16" t="inlineStr">
        <is>
          <t>T1021.002</t>
        </is>
      </c>
      <c r="E658" s="16" t="inlineStr">
        <is>
          <t>SMB/Windows Admin Shares</t>
        </is>
      </c>
      <c r="F658" s="16" t="inlineStr">
        <is>
          <t>Partial</t>
        </is>
      </c>
      <c r="G658"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58"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58" s="16" t="inlineStr">
        <is>
          <t>In a DID environment, the risk of whole-service compromise can be spread out even if a single server is taken over. In conventional systems, damage propagates more widely because of the centralized environment.</t>
        </is>
      </c>
      <c r="J658"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58" s="16" t="n"/>
      <c r="L658" s="16" t="inlineStr">
        <is>
          <t>https://attack.mitre.org/techniques/T1021</t>
        </is>
      </c>
    </row>
    <row r="659" ht="79.84999999999999" customHeight="1" s="7">
      <c r="A659" s="16" t="inlineStr">
        <is>
          <t>Lateral Movement</t>
        </is>
      </c>
      <c r="B659" s="16" t="inlineStr">
        <is>
          <t>T1021</t>
        </is>
      </c>
      <c r="C659" s="16" t="inlineStr">
        <is>
          <t>Remote Services</t>
        </is>
      </c>
      <c r="D659" s="16" t="inlineStr">
        <is>
          <t>T1021.003</t>
        </is>
      </c>
      <c r="E659" s="16" t="inlineStr">
        <is>
          <t>Distributed Component Object Model</t>
        </is>
      </c>
      <c r="F659" s="16" t="inlineStr">
        <is>
          <t>Partial</t>
        </is>
      </c>
      <c r="G659"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59"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59" s="16" t="inlineStr">
        <is>
          <t>In a DID environment, the risk of whole-service compromise can be spread out even if a single server is taken over. In conventional systems, damage propagates more widely because of the centralized environment.</t>
        </is>
      </c>
      <c r="J659"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59" s="16" t="n"/>
      <c r="L659" s="16" t="inlineStr">
        <is>
          <t>https://attack.mitre.org/techniques/T1021</t>
        </is>
      </c>
    </row>
    <row r="660" ht="79.84999999999999" customHeight="1" s="7">
      <c r="A660" s="16" t="inlineStr">
        <is>
          <t>Lateral Movement</t>
        </is>
      </c>
      <c r="B660" s="16" t="inlineStr">
        <is>
          <t>T1021</t>
        </is>
      </c>
      <c r="C660" s="16" t="inlineStr">
        <is>
          <t>Remote Services</t>
        </is>
      </c>
      <c r="D660" s="16" t="inlineStr">
        <is>
          <t>T1021.004</t>
        </is>
      </c>
      <c r="E660" s="16" t="inlineStr">
        <is>
          <t>SSH</t>
        </is>
      </c>
      <c r="F660" s="16" t="inlineStr">
        <is>
          <t>Partial</t>
        </is>
      </c>
      <c r="G660"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60"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60" s="16" t="inlineStr">
        <is>
          <t>In a DID environment, the risk of whole-service compromise can be spread out even if a single server is taken over. In conventional systems, damage propagates more widely because of the centralized environment.</t>
        </is>
      </c>
      <c r="J660"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60" s="16" t="n"/>
      <c r="L660" s="16" t="inlineStr">
        <is>
          <t>https://attack.mitre.org/techniques/T1021</t>
        </is>
      </c>
    </row>
    <row r="661" ht="79.84999999999999" customHeight="1" s="7">
      <c r="A661" s="16" t="inlineStr">
        <is>
          <t>Lateral Movement</t>
        </is>
      </c>
      <c r="B661" s="16" t="inlineStr">
        <is>
          <t>T1021</t>
        </is>
      </c>
      <c r="C661" s="16" t="inlineStr">
        <is>
          <t>Remote Services</t>
        </is>
      </c>
      <c r="D661" s="16" t="inlineStr">
        <is>
          <t>T1021.005</t>
        </is>
      </c>
      <c r="E661" s="16" t="inlineStr">
        <is>
          <t>VNC</t>
        </is>
      </c>
      <c r="F661" s="16" t="inlineStr">
        <is>
          <t>Partial</t>
        </is>
      </c>
      <c r="G661"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61"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61" s="16" t="inlineStr">
        <is>
          <t>In a DID environment, the risk of whole-service compromise can be spread out even if a single server is taken over. In conventional systems, damage propagates more widely because of the centralized environment.</t>
        </is>
      </c>
      <c r="J661"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61" s="16" t="n"/>
      <c r="L661" s="16" t="inlineStr">
        <is>
          <t>https://attack.mitre.org/techniques/T1021</t>
        </is>
      </c>
    </row>
    <row r="662" ht="79.84999999999999" customHeight="1" s="7">
      <c r="A662" s="16" t="inlineStr">
        <is>
          <t>Lateral Movement</t>
        </is>
      </c>
      <c r="B662" s="16" t="inlineStr">
        <is>
          <t>T1021</t>
        </is>
      </c>
      <c r="C662" s="16" t="inlineStr">
        <is>
          <t>Remote Services</t>
        </is>
      </c>
      <c r="D662" s="16" t="inlineStr">
        <is>
          <t>T1021.006</t>
        </is>
      </c>
      <c r="E662" s="16" t="inlineStr">
        <is>
          <t>Windows Remote Management</t>
        </is>
      </c>
      <c r="F662" s="16" t="inlineStr">
        <is>
          <t>Partial</t>
        </is>
      </c>
      <c r="G662"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62"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62" s="16" t="inlineStr">
        <is>
          <t>In a DID environment, the risk of whole-service compromise can be spread out even if a single server is taken over. In conventional systems, damage propagates more widely because of the centralized environment.</t>
        </is>
      </c>
      <c r="J662"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62" s="16" t="n"/>
      <c r="L662" s="16" t="inlineStr">
        <is>
          <t>https://attack.mitre.org/techniques/T1021</t>
        </is>
      </c>
    </row>
    <row r="663" ht="79.84999999999999" customHeight="1" s="7">
      <c r="A663" s="16" t="inlineStr">
        <is>
          <t>Lateral Movement</t>
        </is>
      </c>
      <c r="B663" s="16" t="inlineStr">
        <is>
          <t>T1021</t>
        </is>
      </c>
      <c r="C663" s="16" t="inlineStr">
        <is>
          <t>Remote Services</t>
        </is>
      </c>
      <c r="D663" s="16" t="inlineStr">
        <is>
          <t>T1021.007</t>
        </is>
      </c>
      <c r="E663" s="16" t="inlineStr">
        <is>
          <t>Cloud Services</t>
        </is>
      </c>
      <c r="F663" s="16" t="inlineStr">
        <is>
          <t>Partial</t>
        </is>
      </c>
      <c r="G663"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63"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63" s="16" t="inlineStr">
        <is>
          <t>In a DID environment, the risk of whole-service compromise can be spread out even if a single server is taken over. In conventional systems, damage propagates more widely because of the centralized environment.</t>
        </is>
      </c>
      <c r="J663"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63" s="16" t="n"/>
      <c r="L663" s="16" t="inlineStr">
        <is>
          <t>https://attack.mitre.org/techniques/T1021</t>
        </is>
      </c>
    </row>
    <row r="664" ht="79.84999999999999" customHeight="1" s="7">
      <c r="A664" s="16" t="inlineStr">
        <is>
          <t>Lateral Movement</t>
        </is>
      </c>
      <c r="B664" s="16" t="inlineStr">
        <is>
          <t>T1021</t>
        </is>
      </c>
      <c r="C664" s="16" t="inlineStr">
        <is>
          <t>Remote Services</t>
        </is>
      </c>
      <c r="D664" s="16" t="inlineStr">
        <is>
          <t>T1021.008</t>
        </is>
      </c>
      <c r="E664" s="16" t="inlineStr">
        <is>
          <t>Direct Cloud VM Connections</t>
        </is>
      </c>
      <c r="F664" s="16" t="inlineStr">
        <is>
          <t>Partial</t>
        </is>
      </c>
      <c r="G664" s="16" t="inlineStr">
        <is>
          <t>When issuer, verifier, and administrator servers in a DID/VC system are operated as remote services, an attacker can move laterally through credentials, session hijacking, vulnerabilities, and similar means, causing various threats such as VC forgery, privilege escalation, information theft, and authentication bypass. On-chain data cannot be tampered with directly, but off-chain management/issuance systems are major attack targets.</t>
        </is>
      </c>
      <c r="H664" s="16" t="inlineStr">
        <is>
          <t>Remote services become a major path for internal expansion attacks such as lateral movement, privilege theft, authentication bypass, and malware distribution. The need for basic defenses such as access control, multi-factor authentication, and anomaly detection is the same.</t>
        </is>
      </c>
      <c r="I664" s="16" t="inlineStr">
        <is>
          <t>In a DID environment, the risk of whole-service compromise can be spread out even if a single server is taken over. In conventional systems, damage propagates more widely because of the centralized environment.</t>
        </is>
      </c>
      <c r="J664" s="16" t="inlineStr">
        <is>
          <t>Apply hardening policies to all remote services (SSH, RDP, etc.), including strong passwords, multi-factor authentication, least access privilege, and usage-log monitoring. Separate external and internal access, segment the network, and operate automatic blocking and administrator alert policies for anomalous events.</t>
        </is>
      </c>
      <c r="K664" s="16" t="n"/>
      <c r="L664" s="16" t="inlineStr">
        <is>
          <t>https://attack.mitre.org/techniques/T1021</t>
        </is>
      </c>
    </row>
    <row r="665" ht="91" customHeight="1" s="7">
      <c r="A665" s="16" t="inlineStr">
        <is>
          <t>Lateral Movement</t>
        </is>
      </c>
      <c r="B665" s="16" t="inlineStr">
        <is>
          <t>T1091</t>
        </is>
      </c>
      <c r="C665" s="16" t="inlineStr">
        <is>
          <t>Replication Through Removable Media</t>
        </is>
      </c>
      <c r="D665" s="16" t="n"/>
      <c r="E665" s="16" t="n"/>
      <c r="F665" s="16" t="inlineStr">
        <is>
          <t>Partial</t>
        </is>
      </c>
      <c r="G665" s="16" t="inlineStr">
        <is>
          <t>If malware propagates through removable media on DID/VC authentication servers, management servers, and similar systems, major threats arise such as credential leakage, VC forgery, service takeover, and off-chain data corruption. Tampering with on-chain data is difficult, but the likelihood of real damage to off-chain systems and data is high.</t>
        </is>
      </c>
      <c r="H665" s="16" t="inlineStr">
        <is>
          <t>The same damage, such as malware spread, privilege theft, and service disruption through removable media, can occur. The need for defenses such as autorun prevention, media usage restrictions, and anomaly detection is the same.</t>
        </is>
      </c>
      <c r="I665" s="16" t="inlineStr">
        <is>
          <t>In a DID system, damage to the overall service can be spread out even if some systems are infected. In conventional systems, the scope of damage propagation is wider because of the centralized environment.</t>
        </is>
      </c>
      <c r="J665" s="16" t="inlineStr">
        <is>
          <t>Apply security policies to critical servers and administrator, issuer, and verifier PCs, such as blocking removable-media autorun, monitoring usage history, a media approval policy, and periodic malware scanning. Media usage events, malicious file detections, and similar events can be recorded on-chain to enable anomaly tracking and auditing.</t>
        </is>
      </c>
      <c r="K665" s="16" t="n"/>
      <c r="L665" s="16" t="inlineStr">
        <is>
          <t>https://attack.mitre.org/techniques/T1091</t>
        </is>
      </c>
    </row>
    <row r="666" ht="91" customHeight="1" s="7">
      <c r="A666" s="16" t="inlineStr">
        <is>
          <t>Lateral Movement</t>
        </is>
      </c>
      <c r="B666" s="16" t="inlineStr">
        <is>
          <t>T1072</t>
        </is>
      </c>
      <c r="C666" s="16" t="inlineStr">
        <is>
          <t>Software Deployment Tools</t>
        </is>
      </c>
      <c r="D666" s="16" t="n"/>
      <c r="E666" s="16" t="n"/>
      <c r="F666" s="16" t="inlineStr">
        <is>
          <t>Partial</t>
        </is>
      </c>
      <c r="G666" s="16" t="inlineStr">
        <is>
          <t>If malware, backdoors, or forged updates are distributed through software deployment tools to issuer, verifier, and management servers in a DID/VC authentication system, threats such as VC forgery, credential theft, and service takeover arise. Tampering with on-chain data is difficult, but off-chain services and systems are exposed to risk at large scale.</t>
        </is>
      </c>
      <c r="H666" s="16" t="inlineStr">
        <is>
          <t>Abuse of software deployment tools can cause the same damage, such as large-scale infection, privilege theft, and service disruption. The need for fundamental defenses such as deployment history monitoring, least deployment privilege, and anomalous event detection is the same.</t>
        </is>
      </c>
      <c r="I666" s="16" t="inlineStr">
        <is>
          <t>In a DID system, overall service trustworthiness can remain distributed even if some nodes/servers are compromised. In conventional systems, the scope of damage propagation is wider because of the centralized environment.</t>
        </is>
      </c>
      <c r="J666" s="16" t="inlineStr">
        <is>
          <t>Strengthen security policies such as administrator two-factor authentication for the use of software deployment tools, approval-based deployment, on-chain recording of deployment history, and real-time alerts on abnormal deployment events. Introduce periodic review of deployment tool logs and audit records and automated anomaly detection policies.</t>
        </is>
      </c>
      <c r="K666" s="16" t="n"/>
      <c r="L666" s="16" t="inlineStr">
        <is>
          <t>https://attack.mitre.org/techniques/T1072</t>
        </is>
      </c>
    </row>
    <row r="667" ht="102.2" customHeight="1" s="7">
      <c r="A667" s="16" t="inlineStr">
        <is>
          <t>Lateral Movement</t>
        </is>
      </c>
      <c r="B667" s="16" t="inlineStr">
        <is>
          <t>T1080</t>
        </is>
      </c>
      <c r="C667" s="16" t="inlineStr">
        <is>
          <t>Taint Shared Content</t>
        </is>
      </c>
      <c r="D667" s="16" t="n"/>
      <c r="E667" s="16" t="n"/>
      <c r="F667" s="16" t="inlineStr">
        <is>
          <t>Partial</t>
        </is>
      </c>
      <c r="G667" s="16" t="inlineStr">
        <is>
          <t>In a DID/VC authentication environment as well, the introduction of malicious files or links through collaboration tools, shared folders, and similar channels can lead to damage to off-chain systems, such as credential theft, VC forgery, and service disruption. On-chain data cannot be tampered with, but attacks may concentrate on off-chain files and systems.</t>
        </is>
      </c>
      <c r="H667" s="16" t="inlineStr">
        <is>
          <t>Tainting shared content becomes a channel for internal expansion attacks such as infection spread, privilege theft, and authentication bypass. The need for defenses such as access control on shared content, automatic malware detection, and anomaly monitoring is the same.</t>
        </is>
      </c>
      <c r="I667" s="16" t="inlineStr">
        <is>
          <t>In a DID system, damage to the overall service can be spread out when part of it is tainted. In conventional systems, damage can spread faster because of the centralized environment.</t>
        </is>
      </c>
      <c r="J667" s="16" t="inlineStr">
        <is>
          <t>Strengthen defenses for all shared content (folders, collaboration tools, network drives, etc.), such as automatic malware scanning, approval/two-factor authentication when new files are created, and on-chain recording of access/modification history. Establish immediate blocking and administrator alerting upon detection of unauthorized executables, scripts, and similar content.</t>
        </is>
      </c>
      <c r="K667" s="16" t="n"/>
      <c r="L667" s="16" t="inlineStr">
        <is>
          <t>https://attack.mitre.org/techniques/T1080</t>
        </is>
      </c>
    </row>
    <row r="668" ht="113.4" customHeight="1" s="7">
      <c r="A668" s="16" t="inlineStr">
        <is>
          <t>Lateral Movement</t>
        </is>
      </c>
      <c r="B668" s="16" t="inlineStr">
        <is>
          <t>T1550</t>
        </is>
      </c>
      <c r="C668" s="16" t="inlineStr">
        <is>
          <t>Use Alternate Authentication Material</t>
        </is>
      </c>
      <c r="D668" s="16" t="inlineStr">
        <is>
          <t>T1550.001</t>
        </is>
      </c>
      <c r="E668" s="16" t="inlineStr">
        <is>
          <t>Application Access Token</t>
        </is>
      </c>
      <c r="F668" s="16" t="inlineStr">
        <is>
          <t>Partial</t>
        </is>
      </c>
      <c r="G668" s="16" t="inlineStr">
        <is>
          <t>When a DID/VC system also uses alternate authentication material such as session tokens, API keys, and certificates, an attacker can steal and use it to bypass the normal authentication procedure or to cause security threats involving VC issuance/verification, privilege escalation, and information theft. Direct tampering with on-chain data is not possible, but off-chain authentication and management systems are major attack targets.</t>
        </is>
      </c>
      <c r="H668" s="16" t="inlineStr">
        <is>
          <t>Systems are vulnerable to privilege theft and authentication bypass using alternate authentication material such as tokens, certificates, and API keys. The need for basic security measures such as access control over sensitive information, multi-factor authentication, and anomaly detection is the same.</t>
        </is>
      </c>
      <c r="I668" s="16" t="inlineStr">
        <is>
          <t>DID systems gain some security benefit from on-chain authentication logic, signature verification, and similar mechanisms, but off-chain systems are vulnerable to the abuse of alternate authentication material. Conventional systems have a centralized structure, so damage propagation can be greater when alternate authentication material is stolen.</t>
        </is>
      </c>
      <c r="J668" s="16" t="inlineStr">
        <is>
          <t>In DID/VC services, apply policies for sensitive authentication material such as session tokens, certificates, and API keys: encrypted storage, access-history logging, revocation policies, periodic rotation, additional authentication when alternate authentication material is used, and real-time anomaly detection. Tie access privileges to alternate authentication material to administrator approval and on-chain history recording.</t>
        </is>
      </c>
      <c r="K668" s="16" t="n"/>
      <c r="L668" s="16" t="inlineStr">
        <is>
          <t>https://attack.mitre.org/techniques/T1550</t>
        </is>
      </c>
    </row>
    <row r="669" ht="113.4" customHeight="1" s="7">
      <c r="A669" s="16" t="inlineStr">
        <is>
          <t>Lateral Movement</t>
        </is>
      </c>
      <c r="B669" s="16" t="inlineStr">
        <is>
          <t>T1550</t>
        </is>
      </c>
      <c r="C669" s="16" t="inlineStr">
        <is>
          <t>Use Alternate Authentication Material</t>
        </is>
      </c>
      <c r="D669" s="16" t="inlineStr">
        <is>
          <t>T1550.002</t>
        </is>
      </c>
      <c r="E669" s="16" t="inlineStr">
        <is>
          <t>Pass the Hash</t>
        </is>
      </c>
      <c r="F669" s="16" t="inlineStr">
        <is>
          <t>Partial</t>
        </is>
      </c>
      <c r="G669" s="16" t="inlineStr">
        <is>
          <t>When a DID/VC system also uses alternate authentication material such as session tokens, API keys, and certificates, an attacker can steal and use it to bypass the normal authentication procedure or to cause security threats involving VC issuance/verification, privilege escalation, and information theft. Direct tampering with on-chain data is not possible, but off-chain authentication and management systems are major attack targets.</t>
        </is>
      </c>
      <c r="H669" s="16" t="inlineStr">
        <is>
          <t>Systems are vulnerable to privilege theft and authentication bypass using alternate authentication material such as tokens, certificates, and API keys. The need for basic security measures such as access control over sensitive information, multi-factor authentication, and anomaly detection is the same.</t>
        </is>
      </c>
      <c r="I669" s="16" t="inlineStr">
        <is>
          <t>DID systems gain some security benefit from on-chain authentication logic, signature verification, and similar mechanisms, but off-chain systems are vulnerable to the abuse of alternate authentication material. Conventional systems have a centralized structure, so damage propagation can be greater when alternate authentication material is stolen.</t>
        </is>
      </c>
      <c r="J669" s="16" t="inlineStr">
        <is>
          <t>In DID/VC services, apply policies for sensitive authentication material such as session tokens, certificates, and API keys: encrypted storage, access-history logging, revocation policies, periodic rotation, additional authentication when alternate authentication material is used, and real-time anomaly detection. Tie access privileges to alternate authentication material to administrator approval and on-chain history recording.</t>
        </is>
      </c>
      <c r="K669" s="16" t="n"/>
      <c r="L669" s="16" t="inlineStr">
        <is>
          <t>https://attack.mitre.org/techniques/T1550</t>
        </is>
      </c>
    </row>
    <row r="670" ht="113.4" customHeight="1" s="7">
      <c r="A670" s="16" t="inlineStr">
        <is>
          <t>Lateral Movement</t>
        </is>
      </c>
      <c r="B670" s="16" t="inlineStr">
        <is>
          <t>T1550</t>
        </is>
      </c>
      <c r="C670" s="16" t="inlineStr">
        <is>
          <t>Use Alternate Authentication Material</t>
        </is>
      </c>
      <c r="D670" s="16" t="inlineStr">
        <is>
          <t>T1550.003</t>
        </is>
      </c>
      <c r="E670" s="16" t="inlineStr">
        <is>
          <t>Pass the Ticket</t>
        </is>
      </c>
      <c r="F670" s="16" t="inlineStr">
        <is>
          <t>Partial</t>
        </is>
      </c>
      <c r="G670" s="16" t="inlineStr">
        <is>
          <t>When a DID/VC system also uses alternate authentication material such as session tokens, API keys, and certificates, an attacker can steal and use it to bypass the normal authentication procedure or to cause security threats involving VC issuance/verification, privilege escalation, and information theft. Direct tampering with on-chain data is not possible, but off-chain authentication and management systems are major attack targets.</t>
        </is>
      </c>
      <c r="H670" s="16" t="inlineStr">
        <is>
          <t>Systems are vulnerable to privilege theft and authentication bypass using alternate authentication material such as tokens, certificates, and API keys. The need for basic security measures such as access control over sensitive information, multi-factor authentication, and anomaly detection is the same.</t>
        </is>
      </c>
      <c r="I670" s="16" t="inlineStr">
        <is>
          <t>DID systems gain some security benefit from on-chain authentication logic, signature verification, and similar mechanisms, but off-chain systems are vulnerable to the abuse of alternate authentication material. Conventional systems have a centralized structure, so damage propagation can be greater when alternate authentication material is stolen.</t>
        </is>
      </c>
      <c r="J670" s="16" t="inlineStr">
        <is>
          <t>In DID/VC services, apply policies for sensitive authentication material such as session tokens, certificates, and API keys: encrypted storage, access-history logging, revocation policies, periodic rotation, additional authentication when alternate authentication material is used, and real-time anomaly detection. Tie access privileges to alternate authentication material to administrator approval and on-chain history recording.</t>
        </is>
      </c>
      <c r="K670" s="16" t="n"/>
      <c r="L670" s="16" t="inlineStr">
        <is>
          <t>https://attack.mitre.org/techniques/T1550</t>
        </is>
      </c>
    </row>
    <row r="671" ht="113.4" customHeight="1" s="7">
      <c r="A671" s="16" t="inlineStr">
        <is>
          <t>Lateral Movement</t>
        </is>
      </c>
      <c r="B671" s="16" t="inlineStr">
        <is>
          <t>T1550</t>
        </is>
      </c>
      <c r="C671" s="16" t="inlineStr">
        <is>
          <t>Use Alternate Authentication Material</t>
        </is>
      </c>
      <c r="D671" s="16" t="inlineStr">
        <is>
          <t>T1550.004</t>
        </is>
      </c>
      <c r="E671" s="16" t="inlineStr">
        <is>
          <t>Web Session Cookie</t>
        </is>
      </c>
      <c r="F671" s="16" t="inlineStr">
        <is>
          <t>Partial</t>
        </is>
      </c>
      <c r="G671" s="16" t="inlineStr">
        <is>
          <t>When a DID/VC system also uses alternate authentication material such as session tokens, API keys, and certificates, an attacker can steal and use it to bypass the normal authentication procedure or to cause security threats involving VC issuance/verification, privilege escalation, and information theft. Direct tampering with on-chain data is not possible, but off-chain authentication and management systems are major attack targets.</t>
        </is>
      </c>
      <c r="H671" s="16" t="inlineStr">
        <is>
          <t>Systems are vulnerable to privilege theft and authentication bypass using alternate authentication material such as tokens, certificates, and API keys. The need for basic security measures such as access control over sensitive information, multi-factor authentication, and anomaly detection is the same.</t>
        </is>
      </c>
      <c r="I671" s="16" t="inlineStr">
        <is>
          <t>DID systems gain some security benefit from on-chain authentication logic, signature verification, and similar mechanisms, but off-chain systems are vulnerable to the abuse of alternate authentication material. Conventional systems have a centralized structure, so damage propagation can be greater when alternate authentication material is stolen.</t>
        </is>
      </c>
      <c r="J671" s="16" t="inlineStr">
        <is>
          <t>In DID/VC services, apply policies for sensitive authentication material such as session tokens, certificates, and API keys: encrypted storage, access-history logging, revocation policies, periodic rotation, additional authentication when alternate authentication material is used, and real-time anomaly detection. Tie access privileges to alternate authentication material to administrator approval and on-chain history recording.</t>
        </is>
      </c>
      <c r="K671" s="16" t="n"/>
      <c r="L671" s="16" t="inlineStr">
        <is>
          <t>https://attack.mitre.org/techniques/T1550</t>
        </is>
      </c>
    </row>
    <row r="672" ht="102.2" customHeight="1" s="7">
      <c r="A672" s="16" t="inlineStr">
        <is>
          <t>Collection</t>
        </is>
      </c>
      <c r="B672" s="16" t="inlineStr">
        <is>
          <t>T1557</t>
        </is>
      </c>
      <c r="C672" s="16" t="inlineStr">
        <is>
          <t>Adversary-in-the-Middle</t>
        </is>
      </c>
      <c r="D672" s="16" t="inlineStr">
        <is>
          <t>T1557.001</t>
        </is>
      </c>
      <c r="E672" s="16" t="inlineStr">
        <is>
          <t>LLMNR/NBT-NS Poisoning and SMB Relay</t>
        </is>
      </c>
      <c r="F672" s="16" t="inlineStr">
        <is>
          <t>Partial</t>
        </is>
      </c>
      <c r="G672" s="16" t="inlineStr">
        <is>
          <t>DID authentication also involves VC presentation, verification requests, and signature exchanges over the network.
If an adversary-in-the-middle (MitM) intercepts or alters messages, VCs, DID Documents, signature responses, and similar data may be stolen or manipulated.
In particular, HTTP-based authentication (e.g., DIDComm) may be exposed to MitM threats.
The authentication mechanism itself is secure, but threats can arise depending on transport-layer security.</t>
        </is>
      </c>
      <c r="H672" s="16" t="inlineStr">
        <is>
          <t>DID authentication includes a network-based message exchange structure.
Data such as VCs, VPs, and signature responses travel over the network.
MitM is possible under TLS/HTTPS threats.</t>
        </is>
      </c>
      <c r="I672" s="16" t="inlineStr">
        <is>
          <t>DID generally allows forgery detection based on signature verification.
However, if the transport path is not encrypted, data can be modified/replayed by an adversary in the middle.
Network-layer attacks occur outside the scope of the DID technical specifications.</t>
        </is>
      </c>
      <c r="J672" s="16" t="inlineStr">
        <is>
          <t>Apply TLS or E2EE to DIDComm and similar protocols.
Include replay-prevention mechanisms such as timestamps and nonces in all signed messages.
Include forgery-detection fields in authentication requests/responses to counter adversary-in-the-middle attacks.</t>
        </is>
      </c>
      <c r="K672" s="16" t="n"/>
      <c r="L672" s="16" t="inlineStr">
        <is>
          <t>https://attack.mitre.org/techniques/T1557</t>
        </is>
      </c>
    </row>
    <row r="673" ht="102.2" customHeight="1" s="7">
      <c r="A673" s="16" t="inlineStr">
        <is>
          <t>Collection</t>
        </is>
      </c>
      <c r="B673" s="16" t="inlineStr">
        <is>
          <t>T1557</t>
        </is>
      </c>
      <c r="C673" s="16" t="inlineStr">
        <is>
          <t>Adversary-in-the-Middle</t>
        </is>
      </c>
      <c r="D673" s="16" t="inlineStr">
        <is>
          <t>T1557.002</t>
        </is>
      </c>
      <c r="E673" s="16" t="inlineStr">
        <is>
          <t>ARP Cache Poisoning</t>
        </is>
      </c>
      <c r="F673" s="16" t="inlineStr">
        <is>
          <t>Partial</t>
        </is>
      </c>
      <c r="G673" s="16" t="inlineStr">
        <is>
          <t>DID authentication also involves VC presentation, verification requests, and signature exchanges over the network.
If an adversary-in-the-middle (MitM) intercepts or alters messages, VCs, DID Documents, signature responses, and similar data may be stolen or manipulated.
In particular, HTTP-based authentication (e.g., DIDComm) may be exposed to MitM threats.
The authentication mechanism itself is secure, but threats can arise depending on transport-layer security.</t>
        </is>
      </c>
      <c r="H673" s="16" t="inlineStr">
        <is>
          <t>DID authentication includes a network-based message exchange structure.
Data such as VCs, VPs, and signature responses travel over the network.
MitM is possible under TLS/HTTPS threats.</t>
        </is>
      </c>
      <c r="I673" s="16" t="inlineStr">
        <is>
          <t>DID generally allows forgery detection based on signature verification.
However, if the transport path is not encrypted, data can be modified/replayed by an adversary in the middle.
Network-layer attacks occur outside the scope of the DID technical specifications.</t>
        </is>
      </c>
      <c r="J673" s="16" t="inlineStr">
        <is>
          <t>Apply TLS or E2EE to DIDComm and similar protocols.
Include replay-prevention mechanisms such as timestamps and nonces in all signed messages.
Include forgery-detection fields in authentication requests/responses to counter adversary-in-the-middle attacks.</t>
        </is>
      </c>
      <c r="K673" s="16" t="n"/>
      <c r="L673" s="16" t="inlineStr">
        <is>
          <t>https://attack.mitre.org/techniques/T1557</t>
        </is>
      </c>
    </row>
    <row r="674" ht="102.2" customHeight="1" s="7">
      <c r="A674" s="16" t="inlineStr">
        <is>
          <t>Collection</t>
        </is>
      </c>
      <c r="B674" s="16" t="inlineStr">
        <is>
          <t>T1557</t>
        </is>
      </c>
      <c r="C674" s="16" t="inlineStr">
        <is>
          <t>Adversary-in-the-Middle</t>
        </is>
      </c>
      <c r="D674" s="16" t="inlineStr">
        <is>
          <t>T1557.003</t>
        </is>
      </c>
      <c r="E674" s="16" t="inlineStr">
        <is>
          <t>DHCP Spoofing</t>
        </is>
      </c>
      <c r="F674" s="16" t="inlineStr">
        <is>
          <t>Partial</t>
        </is>
      </c>
      <c r="G674" s="16" t="inlineStr">
        <is>
          <t>DID authentication also involves VC presentation, verification requests, and signature exchanges over the network.
If an adversary-in-the-middle (MitM) intercepts or alters messages, VCs, DID Documents, signature responses, and similar data may be stolen or manipulated.
In particular, HTTP-based authentication (e.g., DIDComm) may be exposed to MitM threats.
The authentication mechanism itself is secure, but threats can arise depending on transport-layer security.</t>
        </is>
      </c>
      <c r="H674" s="16" t="inlineStr">
        <is>
          <t>DID authentication includes a network-based message exchange structure.
Data such as VCs, VPs, and signature responses travel over the network.
MitM is possible under TLS/HTTPS threats.</t>
        </is>
      </c>
      <c r="I674" s="16" t="inlineStr">
        <is>
          <t>DID generally allows forgery detection based on signature verification.
However, if the transport path is not encrypted, data can be modified/replayed by an adversary in the middle.
Network-layer attacks occur outside the scope of the DID technical specifications.</t>
        </is>
      </c>
      <c r="J674" s="16" t="inlineStr">
        <is>
          <t>Apply TLS or E2EE to DIDComm and similar protocols.
Include replay-prevention mechanisms such as timestamps and nonces in all signed messages.
Include forgery-detection fields in authentication requests/responses to counter adversary-in-the-middle attacks.</t>
        </is>
      </c>
      <c r="K674" s="16" t="n"/>
      <c r="L674" s="16" t="inlineStr">
        <is>
          <t>https://attack.mitre.org/techniques/T1557</t>
        </is>
      </c>
    </row>
    <row r="675" ht="102.2" customHeight="1" s="7">
      <c r="A675" s="16" t="inlineStr">
        <is>
          <t>Collection</t>
        </is>
      </c>
      <c r="B675" s="16" t="inlineStr">
        <is>
          <t>T1557</t>
        </is>
      </c>
      <c r="C675" s="16" t="inlineStr">
        <is>
          <t>Adversary-in-the-Middle</t>
        </is>
      </c>
      <c r="D675" s="16" t="inlineStr">
        <is>
          <t>T1557.004</t>
        </is>
      </c>
      <c r="E675" s="16" t="inlineStr">
        <is>
          <t>Evil Twin</t>
        </is>
      </c>
      <c r="F675" s="16" t="inlineStr">
        <is>
          <t>Partial</t>
        </is>
      </c>
      <c r="G675" s="16" t="inlineStr">
        <is>
          <t>DID authentication also involves VC presentation, verification requests, and signature exchanges over the network.
If an adversary-in-the-middle (MitM) intercepts or alters messages, VCs, DID Documents, signature responses, and similar data may be stolen or manipulated.
In particular, HTTP-based authentication (e.g., DIDComm) may be exposed to MitM threats.
The authentication mechanism itself is secure, but threats can arise depending on transport-layer security.</t>
        </is>
      </c>
      <c r="H675" s="16" t="inlineStr">
        <is>
          <t>DID authentication includes a network-based message exchange structure.
Data such as VCs, VPs, and signature responses travel over the network.
MitM is possible under TLS/HTTPS threats.</t>
        </is>
      </c>
      <c r="I675" s="16" t="inlineStr">
        <is>
          <t>DID generally allows forgery detection based on signature verification.
However, if the transport path is not encrypted, data can be modified/replayed by an adversary in the middle.
Network-layer attacks occur outside the scope of the DID technical specifications.</t>
        </is>
      </c>
      <c r="J675" s="16" t="inlineStr">
        <is>
          <t>Apply TLS or E2EE to DIDComm and similar protocols.
Include replay-prevention mechanisms such as timestamps and nonces in all signed messages.
Include forgery-detection fields in authentication requests/responses to counter adversary-in-the-middle attacks.</t>
        </is>
      </c>
      <c r="K675" s="16" t="n"/>
      <c r="L675" s="16" t="inlineStr">
        <is>
          <t>https://attack.mitre.org/techniques/T1557</t>
        </is>
      </c>
    </row>
    <row r="676" ht="57.45" customHeight="1" s="7">
      <c r="A676" s="16" t="inlineStr">
        <is>
          <t>Collection</t>
        </is>
      </c>
      <c r="B676" s="16" t="inlineStr">
        <is>
          <t>T1560</t>
        </is>
      </c>
      <c r="C676" s="16" t="inlineStr">
        <is>
          <t>Archive Collected Data</t>
        </is>
      </c>
      <c r="D676" s="16" t="inlineStr">
        <is>
          <t>T1560.001; T1560.002; T1560.003</t>
        </is>
      </c>
      <c r="E676" s="16" t="inlineStr">
        <is>
          <t>Archive via Utility; Archive via Library; Archive via Custom Method</t>
        </is>
      </c>
      <c r="F676" s="16" t="inlineStr">
        <is>
          <t>No</t>
        </is>
      </c>
      <c r="G676" s="16" t="inlineStr">
        <is>
          <t>T1560 is the act of an adversary compressing or archiving collected data before exfiltration.
DID authentication is a digital transaction flow for identity confirmation and credential verification and is unrelated to data compression, concealment, or changes to transmission formats.</t>
        </is>
      </c>
      <c r="H676" s="16" t="n"/>
      <c r="I676" s="16" t="inlineStr">
        <is>
          <t>T1560 is preprocessing for concealing and exfiltrating collected data.
DID centers on data verification and forgery prevention for authentication purposes.</t>
        </is>
      </c>
      <c r="J676" s="16" t="n"/>
      <c r="K676" s="16" t="n"/>
      <c r="L676" s="16" t="inlineStr">
        <is>
          <t>https://attack.mitre.org/techniques/T1560</t>
        </is>
      </c>
    </row>
    <row r="677" ht="57.45" customHeight="1" s="7">
      <c r="A677" s="16" t="inlineStr">
        <is>
          <t>Collection</t>
        </is>
      </c>
      <c r="B677" s="16" t="inlineStr">
        <is>
          <t>T1123</t>
        </is>
      </c>
      <c r="C677" s="16" t="inlineStr">
        <is>
          <t>Audio Capture</t>
        </is>
      </c>
      <c r="D677" s="16" t="n"/>
      <c r="E677" s="16" t="n"/>
      <c r="F677" s="16" t="inlineStr">
        <is>
          <t>No</t>
        </is>
      </c>
      <c r="G677" s="16" t="inlineStr">
        <is>
          <t>T1123 is a technique in which an adversary records audio through a microphone to collect sensitive information.
DID authentication is a structure centered on digital transactions such as text-based signatures and VC presentation and is unrelated to voice input or recording functions.</t>
        </is>
      </c>
      <c r="H677" s="16" t="n"/>
      <c r="I677" s="16" t="inlineStr">
        <is>
          <t>T1123 is physical surveillance based on audio input.
DID is a digital signing/verification flow and does not use voice input itself.</t>
        </is>
      </c>
      <c r="J677" s="16" t="n"/>
      <c r="K677" s="16" t="n"/>
      <c r="L677" s="16" t="inlineStr">
        <is>
          <t>https://attack.mitre.org/techniques/T1123</t>
        </is>
      </c>
    </row>
    <row r="678" ht="68.65000000000001" customHeight="1" s="7">
      <c r="A678" s="16" t="inlineStr">
        <is>
          <t>Collection</t>
        </is>
      </c>
      <c r="B678" s="16" t="inlineStr">
        <is>
          <t>T1119</t>
        </is>
      </c>
      <c r="C678" s="16" t="inlineStr">
        <is>
          <t>Automated Collection</t>
        </is>
      </c>
      <c r="D678" s="16" t="n"/>
      <c r="E678" s="16" t="n"/>
      <c r="F678" s="16" t="inlineStr">
        <is>
          <t>No</t>
        </is>
      </c>
      <c r="G678" s="16" t="inlineStr">
        <is>
          <t>T1119 is a technique in which an adversary collects system data in an automated manner; collection targets are generally discovered according to rules set by the adversary.
DID authentication operates around authentication transactions and VC presentation and verification, and is unrelated to file collection or automated collection of internal data.</t>
        </is>
      </c>
      <c r="H678" s="16" t="n"/>
      <c r="I678" s="16" t="inlineStr">
        <is>
          <t>T1119 is automated collection of assets within the OS, such as files, input, and screens.
DID centers on credential-based authentication actions.</t>
        </is>
      </c>
      <c r="J678" s="16" t="n"/>
      <c r="K678" s="16" t="n"/>
      <c r="L678" s="16" t="inlineStr">
        <is>
          <t>https://attack.mitre.org/techniques/T1119</t>
        </is>
      </c>
    </row>
    <row r="679" ht="91" customHeight="1" s="7">
      <c r="A679" s="16" t="inlineStr">
        <is>
          <t>Collection</t>
        </is>
      </c>
      <c r="B679" s="16" t="inlineStr">
        <is>
          <t>T1185</t>
        </is>
      </c>
      <c r="C679" s="16" t="inlineStr">
        <is>
          <t>Browser Session Hijacking</t>
        </is>
      </c>
      <c r="D679" s="16" t="n"/>
      <c r="E679" s="16" t="n"/>
      <c r="F679" s="16" t="inlineStr">
        <is>
          <t>Partial</t>
        </is>
      </c>
      <c r="G679" s="16" t="inlineStr">
        <is>
          <t>DID authentication sometimes involves web-based sessions such as DIDComm in a browser environment.
If browser session information is stolen during session cookie use or VC submission, authentication may be misused.
The DID system itself does not use session-based authentication, but in a browser environment it is indirectly exposed to hijacking threats.</t>
        </is>
      </c>
      <c r="H679" s="16" t="inlineStr">
        <is>
          <t>DID-linked web authentication flows partly include session/cookie-based flows.
VC presentation, authentication token exchange, and similar steps can take place in a browser environment.</t>
        </is>
      </c>
      <c r="I679" s="16" t="inlineStr">
        <is>
          <t>DID itself is a short-lived, signature/verification-centered authentication without session maintenance.
Session hijacking is possible only within the browser scope, such as theft of session tokens and cookies.
Its structure differs from DID's signature-based proofs.</t>
        </is>
      </c>
      <c r="J679" s="16" t="inlineStr">
        <is>
          <t>Protect session tokens in web-linked authentication.
Encrypt the information contained in tokens, URIs, and responses when submitting VCs.
Minimizing the use of browser storage is recommended for web wallets and wallet extensions as well.</t>
        </is>
      </c>
      <c r="K679" s="16" t="n"/>
      <c r="L679" s="16" t="inlineStr">
        <is>
          <t>https://attack.mitre.org/techniques/T1185</t>
        </is>
      </c>
    </row>
    <row r="680" ht="79.84999999999999" customHeight="1" s="7">
      <c r="A680" s="16" t="inlineStr">
        <is>
          <t>Collection</t>
        </is>
      </c>
      <c r="B680" s="16" t="inlineStr">
        <is>
          <t>T1115</t>
        </is>
      </c>
      <c r="C680" s="16" t="inlineStr">
        <is>
          <t>Clipboard Data</t>
        </is>
      </c>
      <c r="D680" s="16" t="n"/>
      <c r="E680" s="16" t="n"/>
      <c r="F680" s="16" t="inlineStr">
        <is>
          <t>Partial</t>
        </is>
      </c>
      <c r="G680" s="16" t="inlineStr">
        <is>
          <t>During DID authentication, a user may copy VC content or share data through the clipboard in a wallet app.
The clipboard is part of user input, and sensitive information (VPs, VC IDs, etc.) may temporarily reside in it.
Clipboard access occurs outside the DID authentication flow, so there is no structural link, but there is an indirect association in terms of security threats.</t>
        </is>
      </c>
      <c r="H680" s="16" t="inlineStr">
        <is>
          <t>Some user wallet apps can copy VC IDs, signature results, and similar data to the clipboard.
Sensitive data may temporarily reside in the clipboard.</t>
        </is>
      </c>
      <c r="I680" s="16" t="inlineStr">
        <is>
          <t>T1115 is not included in DID transactions or event logs.
The clipboard is an operating system resource and is not controlled by the DID authentication system.</t>
        </is>
      </c>
      <c r="J680" s="16" t="inlineStr">
        <is>
          <t>Introduce clipboard copy prevention or automatic clearing in wallet apps.
Set UI/UX guidelines so that sensitive data is not copied.
Consider warning the user when clipboard access is detected.</t>
        </is>
      </c>
      <c r="K680" s="16" t="n"/>
      <c r="L680" s="16" t="inlineStr">
        <is>
          <t>https://attack.mitre.org/techniques/T1115</t>
        </is>
      </c>
    </row>
    <row r="681" ht="57.45" customHeight="1" s="7">
      <c r="A681" s="16" t="inlineStr">
        <is>
          <t>Collection</t>
        </is>
      </c>
      <c r="B681" s="16" t="inlineStr">
        <is>
          <t>T1530</t>
        </is>
      </c>
      <c r="C681" s="16" t="inlineStr">
        <is>
          <t>Data from Cloud Storage</t>
        </is>
      </c>
      <c r="D681" s="16" t="n"/>
      <c r="E681" s="16" t="n"/>
      <c r="F681" s="16" t="inlineStr">
        <is>
          <t>No</t>
        </is>
      </c>
      <c r="G681" s="16" t="inlineStr">
        <is>
          <t>T1530 is a technique in which an adversary collects data from cloud object storage (AWS S3, Azure Blob, etc.).
DID authentication is a decentralized identity authentication system based on VCs, DIDs, and transactions and has no direct relation to cloud storage objects.</t>
        </is>
      </c>
      <c r="H681" s="16" t="n"/>
      <c r="I681" s="16" t="inlineStr">
        <is>
          <t>T1530 is data exfiltration through storage access.
DID is a decentralized identity model based on the exchange of authentication information.</t>
        </is>
      </c>
      <c r="J681" s="16" t="n"/>
      <c r="K681" s="16" t="n"/>
      <c r="L681" s="16" t="inlineStr">
        <is>
          <t>https://attack.mitre.org/techniques/T1530</t>
        </is>
      </c>
    </row>
    <row r="682" ht="57.45" customHeight="1" s="7">
      <c r="A682" s="16" t="inlineStr">
        <is>
          <t>Collection</t>
        </is>
      </c>
      <c r="B682" s="16" t="inlineStr">
        <is>
          <t>T1602</t>
        </is>
      </c>
      <c r="C682" s="16" t="inlineStr">
        <is>
          <t>Data from Configuration Repository</t>
        </is>
      </c>
      <c r="D682" s="16" t="inlineStr">
        <is>
          <t>T1602.001; T1602.002</t>
        </is>
      </c>
      <c r="E682" s="16" t="inlineStr">
        <is>
          <t>SNMP (MIB Dump); Network Device Configuration Dump</t>
        </is>
      </c>
      <c r="F682" s="16" t="inlineStr">
        <is>
          <t>No</t>
        </is>
      </c>
      <c r="G682" s="16" t="inlineStr">
        <is>
          <t>T1602 is the act of an adversary collecting sensitive configuration values (API keys, credentials, etc.) from configuration repositories (e.g., Git).
DID authentication is a decentralized authentication system for identity verification between users and organizations and does not access or use configuration repositories.</t>
        </is>
      </c>
      <c r="H682" s="16" t="n"/>
      <c r="I682" s="16" t="inlineStr">
        <is>
          <t>T1602 involves access to configuration management infrastructure or development repositories.
DID centers on blockchain-based authentication and VC issuance and presentation flows.</t>
        </is>
      </c>
      <c r="J682" s="16" t="n"/>
      <c r="K682" s="16" t="n"/>
      <c r="L682" s="16" t="inlineStr">
        <is>
          <t>https://attack.mitre.org/techniques/T1602</t>
        </is>
      </c>
    </row>
    <row r="683" ht="68.65000000000001" customHeight="1" s="7">
      <c r="A683" s="16" t="inlineStr">
        <is>
          <t>Collection</t>
        </is>
      </c>
      <c r="B683" s="16" t="inlineStr">
        <is>
          <t>T1213</t>
        </is>
      </c>
      <c r="C683" s="16" t="inlineStr">
        <is>
          <t>Data from Information Repositories</t>
        </is>
      </c>
      <c r="D683" s="16" t="inlineStr">
        <is>
          <t>T1213.001; T1213.002; T1213.003; T1213.004; T1213.005</t>
        </is>
      </c>
      <c r="E683" s="16" t="inlineStr">
        <is>
          <t>Confluence; Sharepoint; Code Repositories; Customer Relationship Management Software; Messaging Applications</t>
        </is>
      </c>
      <c r="F683" s="16" t="inlineStr">
        <is>
          <t>No</t>
        </is>
      </c>
      <c r="G683" s="16" t="inlineStr">
        <is>
          <t>T1213 is the act of an adversary collecting sensitive information from internal enterprise information repositories (CMS, databases, email stores, etc.).
DID authentication is a user-centric decentralized identity authentication system and has no elements related to accessing or collecting from information repositories.</t>
        </is>
      </c>
      <c r="H683" s="16" t="n"/>
      <c r="I683" s="16" t="inlineStr">
        <is>
          <t>T1213 extracts information from central repositories.
DID is a decentralized structure based on VC issuance/presentation/verification.
It is unrelated to repository access or CMS integration.</t>
        </is>
      </c>
      <c r="J683" s="16" t="n"/>
      <c r="K683" s="16" t="n"/>
      <c r="L683" s="16" t="inlineStr">
        <is>
          <t>https://attack.mitre.org/techniques/T1213</t>
        </is>
      </c>
    </row>
    <row r="684" ht="57.45" customHeight="1" s="7">
      <c r="A684" s="16" t="inlineStr">
        <is>
          <t>Collection</t>
        </is>
      </c>
      <c r="B684" s="16" t="inlineStr">
        <is>
          <t>T1005</t>
        </is>
      </c>
      <c r="C684" s="16" t="inlineStr">
        <is>
          <t>Data from Local System</t>
        </is>
      </c>
      <c r="D684" s="16" t="n"/>
      <c r="E684" s="16" t="n"/>
      <c r="F684" s="16" t="inlineStr">
        <is>
          <t>No</t>
        </is>
      </c>
      <c r="G684" s="16" t="inlineStr">
        <is>
          <t>T1005 is the act of an adversary collecting files from the local disk.
DID authentication is a transaction-centered authentication system based on decentralized identifiers and is unrelated to local file collection.</t>
        </is>
      </c>
      <c r="H684" s="16" t="n"/>
      <c r="I684" s="16" t="inlineStr">
        <is>
          <t>T1005 extracts sensitive files from local directories.
DID centers on identification and verification procedures using credentials and signatures.
It is unrelated to local file collection.</t>
        </is>
      </c>
      <c r="J684" s="16" t="n"/>
      <c r="K684" s="16" t="n"/>
      <c r="L684" s="16" t="inlineStr">
        <is>
          <t>https://attack.mitre.org/techniques/T1005</t>
        </is>
      </c>
    </row>
    <row r="685" ht="57.45" customHeight="1" s="7">
      <c r="A685" s="16" t="inlineStr">
        <is>
          <t>Collection</t>
        </is>
      </c>
      <c r="B685" s="16" t="inlineStr">
        <is>
          <t>T1039</t>
        </is>
      </c>
      <c r="C685" s="16" t="inlineStr">
        <is>
          <t>Data from Network Shared Drive</t>
        </is>
      </c>
      <c r="D685" s="16" t="n"/>
      <c r="E685" s="16" t="n"/>
      <c r="F685" s="16" t="inlineStr">
        <is>
          <t>No</t>
        </is>
      </c>
      <c r="G685" s="16" t="inlineStr">
        <is>
          <t>T1039 is the act of collecting files from shared network drives.
DID authentication is based on blockchain and off-chain identifiers and credential exchange and is unrelated to file sharing systems.</t>
        </is>
      </c>
      <c r="H685" s="16" t="n"/>
      <c r="I685" s="16" t="inlineStr">
        <is>
          <t>T1039 is data access through network file sharing systems.
DID involves identity-based message transmission and verification and does not include file system access.</t>
        </is>
      </c>
      <c r="J685" s="16" t="n"/>
      <c r="K685" s="16" t="n"/>
      <c r="L685" s="16" t="inlineStr">
        <is>
          <t>https://attack.mitre.org/techniques/T1039</t>
        </is>
      </c>
    </row>
    <row r="686" ht="46.25" customHeight="1" s="7">
      <c r="A686" s="16" t="inlineStr">
        <is>
          <t>Collection</t>
        </is>
      </c>
      <c r="B686" s="16" t="inlineStr">
        <is>
          <t>T1025</t>
        </is>
      </c>
      <c r="C686" s="16" t="inlineStr">
        <is>
          <t>Data from Removable Media</t>
        </is>
      </c>
      <c r="D686" s="16" t="n"/>
      <c r="E686" s="16" t="n"/>
      <c r="F686" s="16" t="inlineStr">
        <is>
          <t>No</t>
        </is>
      </c>
      <c r="G686" s="16" t="inlineStr">
        <is>
          <t>T1025 refers to collecting information from removable storage devices (USB, etc.).
DID authentication presupposes online blockchain systems and VC exchange and is unrelated to local storage devices or offline collection.</t>
        </is>
      </c>
      <c r="H686" s="16" t="n"/>
      <c r="I686" s="16" t="inlineStr">
        <is>
          <t>T1025 is collection based on offline physical media.
DID centers on digital transactions and on-chain/off-chain identity exchange.</t>
        </is>
      </c>
      <c r="J686" s="16" t="n"/>
      <c r="K686" s="16" t="n"/>
      <c r="L686" s="16" t="inlineStr">
        <is>
          <t>https://attack.mitre.org/techniques/T1025</t>
        </is>
      </c>
    </row>
    <row r="687" ht="57.45" customHeight="1" s="7">
      <c r="A687" s="16" t="inlineStr">
        <is>
          <t>Collection</t>
        </is>
      </c>
      <c r="B687" s="16" t="inlineStr">
        <is>
          <t>T1074</t>
        </is>
      </c>
      <c r="C687" s="16" t="inlineStr">
        <is>
          <t>Data Staged</t>
        </is>
      </c>
      <c r="D687" s="16" t="inlineStr">
        <is>
          <t>T1074.001; T1074.002</t>
        </is>
      </c>
      <c r="E687" s="16" t="inlineStr">
        <is>
          <t>Local Data Staging; Remote Data Staging</t>
        </is>
      </c>
      <c r="F687" s="16" t="inlineStr">
        <is>
          <t>No</t>
        </is>
      </c>
      <c r="G687" s="16" t="inlineStr">
        <is>
          <t>T1074 is the act of an adversary storing or transforming stolen data locally before exfiltration.
DID authentication is a transaction-based identity system for user identification and, in terms of technical structure, is unrelated to an adversary collecting or organizing data.</t>
        </is>
      </c>
      <c r="H687" s="16" t="n"/>
      <c r="I687" s="16" t="inlineStr">
        <is>
          <t>T1074 is the act of an adversary hiding or compressing data.
DID is an identity authentication flow based on issuance/presentation/verification and is unrelated to preparing information exfiltration.</t>
        </is>
      </c>
      <c r="J687" s="16" t="n"/>
      <c r="K687" s="16" t="n"/>
      <c r="L687" s="16" t="inlineStr">
        <is>
          <t>https://attack.mitre.org/techniques/T1074</t>
        </is>
      </c>
    </row>
    <row r="688" ht="57.45" customHeight="1" s="7">
      <c r="A688" s="16" t="inlineStr">
        <is>
          <t>Collection</t>
        </is>
      </c>
      <c r="B688" s="16" t="inlineStr">
        <is>
          <t>T1114</t>
        </is>
      </c>
      <c r="C688" s="16" t="inlineStr">
        <is>
          <t>Email Collection</t>
        </is>
      </c>
      <c r="D688" s="16" t="inlineStr">
        <is>
          <t>T1114.001; T1114.002; T1114.003</t>
        </is>
      </c>
      <c r="E688" s="16" t="inlineStr">
        <is>
          <t>Local Email Collection; Remote Email Collection; Email Forwarding Rule</t>
        </is>
      </c>
      <c r="F688" s="16" t="inlineStr">
        <is>
          <t>No</t>
        </is>
      </c>
      <c r="G688" s="16" t="inlineStr">
        <is>
          <t>T1114 performs information collection targeting email systems.
DID authentication consists of a blockchain-based decentralized identity system unrelated to email.
DID elements such as VC presentation and DID signatures are not linked to email.</t>
        </is>
      </c>
      <c r="H688" s="16" t="n"/>
      <c r="I688" s="16" t="inlineStr">
        <is>
          <t>T1114 targets email messages, attachments, address books, and similar data.
DID authentication consists of user wallets, VCs, blockchain transactions, and similar elements.</t>
        </is>
      </c>
      <c r="J688" s="16" t="n"/>
      <c r="K688" s="16" t="n"/>
      <c r="L688" s="16" t="inlineStr">
        <is>
          <t>https://attack.mitre.org/techniques/T1114</t>
        </is>
      </c>
    </row>
    <row r="689" ht="79.84999999999999" customHeight="1" s="7">
      <c r="A689" s="16" t="inlineStr">
        <is>
          <t>Collection</t>
        </is>
      </c>
      <c r="B689" s="16" t="inlineStr">
        <is>
          <t>T1056</t>
        </is>
      </c>
      <c r="C689" s="16" t="inlineStr">
        <is>
          <t>Input Capture</t>
        </is>
      </c>
      <c r="D689" s="16" t="inlineStr">
        <is>
          <t>T1056.001; T1056.002; T1056.003; T1056.004</t>
        </is>
      </c>
      <c r="E689" s="16" t="inlineStr">
        <is>
          <t>Keylogging; GUI Input Capture; Web Portal Capture; Credential API Hooking</t>
        </is>
      </c>
      <c r="F689" s="16" t="inlineStr">
        <is>
          <t>Partial</t>
        </is>
      </c>
      <c r="G689" s="16" t="inlineStr">
        <is>
          <t>T1056 is a technique that collects sensitive information through the keyboard, mouse, clipboard, and similar inputs.
DID authentication is also based on user input such as VC selection, signing, and presentation.
Input itself is not a core component of DID authentication, but it is indirectly related within the authentication flow.
Because input-based interaction exists, it is judged a partial match.</t>
        </is>
      </c>
      <c r="H689" s="16" t="inlineStr">
        <is>
          <t>User input (clicks, signing, VC selection, etc.) occurs during DID authentication.
User actions are directly tied to authentication success.</t>
        </is>
      </c>
      <c r="I689" s="16" t="inlineStr">
        <is>
          <t>T1056 is unauthorized input collection at the OS or app level.
DID authentication processes input legitimately to create transactions.
Input Capture is hard to detect, whereas DID is event-centered.</t>
        </is>
      </c>
      <c r="J689" s="16" t="inlineStr">
        <is>
          <t>Sensitive input needs protection through virtual keypads, biometric input, and similar means.
Minimize clipboard use or introduce automatic clearing after use.
Consider logging input security events within the wallet app or linking them to detection.</t>
        </is>
      </c>
      <c r="K689" s="16" t="n"/>
      <c r="L689" s="16" t="inlineStr">
        <is>
          <t>https://attack.mitre.org/techniques/T1056</t>
        </is>
      </c>
    </row>
    <row r="690" ht="113.4" customHeight="1" s="7">
      <c r="A690" s="16" t="inlineStr">
        <is>
          <t>Collection</t>
        </is>
      </c>
      <c r="B690" s="16" t="inlineStr">
        <is>
          <t>T1113</t>
        </is>
      </c>
      <c r="C690" s="16" t="inlineStr">
        <is>
          <t>Screen Capture</t>
        </is>
      </c>
      <c r="D690" s="16" t="n"/>
      <c r="E690" s="16" t="n"/>
      <c r="F690" s="16" t="inlineStr">
        <is>
          <t>Partial</t>
        </is>
      </c>
      <c r="G690" s="16" t="inlineStr">
        <is>
          <t>DID authentication involves screen-based interactions such as VC presentation and wallet app operation.
T1113 is a technique in which an adversary captures the user's screen to collect sensitive information (VC content, authentication status, QR codes, etc.).
The DID authentication system is centered on digital logs, and screen capture is an invisible threat that is not directly linked to it.
Some DID-related information (VC presentation content, the user's wallet UI, etc.) may appear on screen, so an indirect association exists.</t>
        </is>
      </c>
      <c r="H690" s="16" t="inlineStr">
        <is>
          <t>Information is displayed on screen on the user device during DID authentication.
Visual elements such as authentication status, VC selection screens, and QR codes are visible.
Authentication actions occur through the UI.</t>
        </is>
      </c>
      <c r="I690" s="16" t="inlineStr">
        <is>
          <t>DID is a digital transaction and signature structure, whereas T1113 is based on capturing screen images.
Screen information is not recorded in DID logs, and T1113 cannot be detected on-chain or off-chain.
Authentication is proven through the VC itself; the screen is merely an auxiliary means of representation.</t>
        </is>
      </c>
      <c r="J690" s="16" t="inlineStr">
        <is>
          <t>Wallet apps need a screen capture blocking function.
Exposure of QR codes and VC content during authentication needs to be minimized.
DID-based authentication flows need integration with device security state detection (screen capture detection).
Consider UX improvements such as displaying only mathematical results instead of visualizing sensitive VC results.</t>
        </is>
      </c>
      <c r="K690" s="16" t="n"/>
      <c r="L690" s="16" t="inlineStr">
        <is>
          <t>https://attack.mitre.org/techniques/T1113</t>
        </is>
      </c>
    </row>
    <row r="691" ht="91" customHeight="1" s="7">
      <c r="A691" s="16" t="inlineStr">
        <is>
          <t>Collection</t>
        </is>
      </c>
      <c r="B691" s="16" t="inlineStr">
        <is>
          <t>T1125</t>
        </is>
      </c>
      <c r="C691" s="16" t="inlineStr">
        <is>
          <t>Video Capture</t>
        </is>
      </c>
      <c r="D691" s="16" t="n"/>
      <c r="E691" s="16" t="n"/>
      <c r="F691" s="16" t="inlineStr">
        <is>
          <t>Full</t>
        </is>
      </c>
      <c r="G691" s="16" t="inlineStr">
        <is>
          <t>DID authentication involves UI-based actions (VC presentation, QR scanning, signing, etc.) on the user device.
T1125 is a technique that externally collects these actions as video through a camera.
Video collection can neutralize privacy protection mechanisms.
It cannot be detected from digital logs and is therefore entirely missed by DID event-based anomaly detection.</t>
        </is>
      </c>
      <c r="H691" s="16" t="inlineStr">
        <is>
          <t>Like DID authentication, it operates on the user device.
Screen-based authentication actions such as VC presentation and wallet interaction exist.
Visual elements are exposed at the time of authentication.</t>
        </is>
      </c>
      <c r="I691" s="16" t="inlineStr">
        <is>
          <t>DID authentication has transaction-based log records for VC issuance, presentation, and verification.
T1125 is based on video capture and leaves no logs.
T1125 films physical reality, whereas DID centers on digital signatures.
Detection and defense approaches differ.</t>
        </is>
      </c>
      <c r="J691" s="16" t="inlineStr">
        <is>
          <t>Wallet apps need screen recording/capture blocking.
Apply short validity periods and one-time tokens for QR-based VC presentation.
Consider introducing camera access detection in user wallet apps.
Simplify the authentication UI and minimize visual exposure of sensitive information.</t>
        </is>
      </c>
      <c r="K691" s="16" t="n"/>
      <c r="L691" s="16" t="inlineStr">
        <is>
          <t>https://attack.mitre.org/techniques/T1125</t>
        </is>
      </c>
    </row>
    <row r="692" ht="113.4" customHeight="1" s="7">
      <c r="A692" s="16" t="inlineStr">
        <is>
          <t>Command and Control</t>
        </is>
      </c>
      <c r="B692" s="16" t="inlineStr">
        <is>
          <t>T1071</t>
        </is>
      </c>
      <c r="C692" s="16" t="inlineStr">
        <is>
          <t>Application Layer Protocol</t>
        </is>
      </c>
      <c r="D692" s="16" t="inlineStr">
        <is>
          <t>T1071.001</t>
        </is>
      </c>
      <c r="E692" s="16" t="inlineStr">
        <is>
          <t>Web Protocols</t>
        </is>
      </c>
      <c r="F692" s="16" t="inlineStr">
        <is>
          <t>Full</t>
        </is>
      </c>
      <c r="G692" s="16" t="inlineStr">
        <is>
          <t>The DID Core standard specifies HTTP/HTTPS as the default transport. DID resolution, VC presentation, and DIDComm are all HTTP-based. HTTP/HTTPS is necessarily used for web browser compatibility.</t>
        </is>
      </c>
      <c r="H692" s="16" t="inlineStr">
        <is>
          <t>Data exchange through HTTP GET/POST requests; support for encrypted communication through HTTPS; easy firewall bypass by using standard web ports (80, 443); recorded as normal traffic in web server logs.</t>
        </is>
      </c>
      <c r="I692" s="16" t="inlineStr">
        <is>
          <t>Content-Type constraints: MITRE allows various MIME types, whereas DID uses fixed types such as application/did+ld+json. URL structure: MITRE allows arbitrary paths, whereas DID uses standardized paths (e.g., /.well-known/did.json). Response format: MITRE allows arbitrary formats, whereas DID requires compliance with the JSON-LD schema.</t>
        </is>
      </c>
      <c r="J692" s="16" t="inlineStr">
        <is>
          <t>DID Resolution HTTP requests: add custom query parameters to GET /1.0/identifiers/{did} requests. VC Presentation HTTP responses: include additional JSON fields in POST /presentations/verify responses. HTTP header extension: use custom headers such as DID-Resolution-Options and VC-Presentation-Context. WebSocket upgrade: upgrade the HTTP connection to WebSocket to build a real-time C2 channel.</t>
        </is>
      </c>
      <c r="K692" s="16" t="n"/>
      <c r="L692" s="16" t="inlineStr">
        <is>
          <t>https://attack.mitre.org/techniques/T1071</t>
        </is>
      </c>
    </row>
    <row r="693" ht="68.65000000000001" customHeight="1" s="7">
      <c r="A693" s="16" t="inlineStr">
        <is>
          <t>Command and Control</t>
        </is>
      </c>
      <c r="B693" s="16" t="inlineStr">
        <is>
          <t>T1071</t>
        </is>
      </c>
      <c r="C693" s="16" t="inlineStr">
        <is>
          <t>Application Layer Protocol</t>
        </is>
      </c>
      <c r="D693" s="16" t="inlineStr">
        <is>
          <t>T1071.002</t>
        </is>
      </c>
      <c r="E693" s="16" t="inlineStr">
        <is>
          <t>File Transfer Protocols</t>
        </is>
      </c>
      <c r="F693" s="16" t="inlineStr">
        <is>
          <t>No</t>
        </is>
      </c>
      <c r="G693" s="16" t="inlineStr">
        <is>
          <t>DID systems are generally HTTP/HTTPS-based, and FTP/SFTP is used infrequently. Distributed storage systems such as IPFS take over the file transfer role. Given the importance of real-time interaction in DID, file transfer protocols do not fit.</t>
        </is>
      </c>
      <c r="H693" s="16" t="inlineStr">
        <is>
          <t>-</t>
        </is>
      </c>
      <c r="I693" s="16" t="inlineStr">
        <is>
          <t>Frequency of use: common in MITRE vs. very limited in DID. Data characteristics: executables/documents in MITRE vs. mainly JSON documents in DID. Real-time requirement: batch processing possible in MITRE vs. real-time verification required in DID.</t>
        </is>
      </c>
      <c r="J693" s="16" t="inlineStr">
        <is>
          <t>-</t>
        </is>
      </c>
      <c r="K693" s="16" t="n"/>
      <c r="L693" s="16" t="inlineStr">
        <is>
          <t>https://attack.mitre.org/techniques/T1071</t>
        </is>
      </c>
    </row>
    <row r="694" ht="57.45" customHeight="1" s="7">
      <c r="A694" s="16" t="inlineStr">
        <is>
          <t>Command and Control</t>
        </is>
      </c>
      <c r="B694" s="16" t="inlineStr">
        <is>
          <t>T1071</t>
        </is>
      </c>
      <c r="C694" s="16" t="inlineStr">
        <is>
          <t>Application Layer Protocol</t>
        </is>
      </c>
      <c r="D694" s="16" t="inlineStr">
        <is>
          <t>T1071.003</t>
        </is>
      </c>
      <c r="E694" s="16" t="inlineStr">
        <is>
          <t>Mail Protocols</t>
        </is>
      </c>
      <c r="F694" s="16" t="inlineStr">
        <is>
          <t>No</t>
        </is>
      </c>
      <c r="G694" s="16" t="inlineStr">
        <is>
          <t>The direct relation between DID systems and email protocols is limited. DID centers on real-time P2P communication, whereas email is asynchronous and centralized. DIDComm provides messaging functions similar to email but uses different protocols.</t>
        </is>
      </c>
      <c r="H694" s="16" t="inlineStr">
        <is>
          <t>-</t>
        </is>
      </c>
      <c r="I694" s="16" t="inlineStr">
        <is>
          <t>Centralized vs. decentralized: email centers on SMTP servers vs. P2P in DID. Real-time requirement: email tolerates delay vs. DID prefers real-time verification. Protocols: SMTP/POP3/IMAP vs. HTTP/DIDComm.</t>
        </is>
      </c>
      <c r="J694" s="16" t="inlineStr">
        <is>
          <t>-</t>
        </is>
      </c>
      <c r="K694" s="16" t="n"/>
      <c r="L694" s="16" t="inlineStr">
        <is>
          <t>https://attack.mitre.org/techniques/T1071</t>
        </is>
      </c>
    </row>
    <row r="695" ht="102.2" customHeight="1" s="7">
      <c r="A695" s="16" t="inlineStr">
        <is>
          <t>Command and Control</t>
        </is>
      </c>
      <c r="B695" s="16" t="inlineStr">
        <is>
          <t>T1071</t>
        </is>
      </c>
      <c r="C695" s="16" t="inlineStr">
        <is>
          <t>Application Layer Protocol</t>
        </is>
      </c>
      <c r="D695" s="16" t="inlineStr">
        <is>
          <t>T1071.004</t>
        </is>
      </c>
      <c r="E695" s="16" t="inlineStr">
        <is>
          <t>DNS</t>
        </is>
      </c>
      <c r="F695" s="16" t="inlineStr">
        <is>
          <t>Partial</t>
        </is>
      </c>
      <c r="G695" s="16" t="inlineStr">
        <is>
          <t>The did:web method depends on DNS. Some DID resolvers use DNS-based service discovery. DID Document information can be stored through DNS TXT records.</t>
        </is>
      </c>
      <c r="H695" s="16" t="inlineStr">
        <is>
          <t>Domain-based name resolution system; hierarchical distributed structure; storage of additional information through TXT records; performance optimization through caching mechanisms.</t>
        </is>
      </c>
      <c r="I695" s="16" t="inlineStr">
        <is>
          <t>Data format: limited text in DNS vs. rich JSON-LD in DID. Size limit: 512-byte limit in DNS vs. variable size for DID Documents. Verification: DNSSEC in DNS vs. digital signatures in DID.</t>
        </is>
      </c>
      <c r="J695" s="16" t="inlineStr">
        <is>
          <t>Use of DNS TXT records: include C2 data while storing DID Document summary information in TXT records. DNS over HTTPS (DoH): DNS tunneling during DID resolution over DoH. Subdomain encoding: include Base32-encoded commands in the subdomain part of did:web. DNS cache poisoning: manipulate the DID resolver's DNS cache to redirect to a malicious server.</t>
        </is>
      </c>
      <c r="K695" s="16" t="n"/>
      <c r="L695" s="16" t="inlineStr">
        <is>
          <t>https://attack.mitre.org/techniques/T1071</t>
        </is>
      </c>
    </row>
    <row r="696" ht="102.2" customHeight="1" s="7">
      <c r="A696" s="16" t="inlineStr">
        <is>
          <t>Command and Control</t>
        </is>
      </c>
      <c r="B696" s="16" t="inlineStr">
        <is>
          <t>T1071</t>
        </is>
      </c>
      <c r="C696" s="16" t="inlineStr">
        <is>
          <t>Application Layer Protocol</t>
        </is>
      </c>
      <c r="D696" s="16" t="inlineStr">
        <is>
          <t>T1071.005</t>
        </is>
      </c>
      <c r="E696" s="16" t="inlineStr">
        <is>
          <t>Publish/Subscribe Protocols</t>
        </is>
      </c>
      <c r="F696" s="16" t="inlineStr">
        <is>
          <t>Partial</t>
        </is>
      </c>
      <c r="G696" s="16" t="inlineStr">
        <is>
          <t>The pub/sub pattern can be used in DID event notification systems. MQTT/AMQP can be used for real-time VC status updates. The MQTT protocol is frequently used for DID in IoT environments.</t>
        </is>
      </c>
      <c r="H696" s="16" t="inlineStr">
        <is>
          <t>Asynchronous messaging pattern; topic-based routing; many-to-many communication model; real-time event propagation.</t>
        </is>
      </c>
      <c r="I696" s="16" t="inlineStr">
        <is>
          <t>Message structure: free-form in pub/sub vs. JSON-LD structure in DID. Topic naming: hierarchical topics in pub/sub vs. URI-based identification in DID. Persistence: messages may be lost in pub/sub vs. must be verifiable in DID.</t>
        </is>
      </c>
      <c r="J696" s="16" t="inlineStr">
        <is>
          <t>DID event streams: include C2 commands while publishing DID Document changes to MQTT topics. VC status notifications: insert additional payloads while sending VC revocation/expiration notifications over pub/sub. IoT DID messaging: use MQTT as a C2 channel during DID authentication of IoT devices. Real-time DIDComm: route DIDComm messages through MQTT topics.</t>
        </is>
      </c>
      <c r="K696" s="16" t="n"/>
      <c r="L696" s="16" t="inlineStr">
        <is>
          <t>https://attack.mitre.org/techniques/T1071</t>
        </is>
      </c>
    </row>
    <row r="697" ht="57.45" customHeight="1" s="7">
      <c r="A697" s="16" t="inlineStr">
        <is>
          <t>Command and Control</t>
        </is>
      </c>
      <c r="B697" s="16" t="inlineStr">
        <is>
          <t>T1092</t>
        </is>
      </c>
      <c r="C697" s="16" t="inlineStr">
        <is>
          <t>Communication Through Removable Media</t>
        </is>
      </c>
      <c r="D697" s="16" t="n"/>
      <c r="E697" s="16" t="n"/>
      <c r="F697" s="16" t="inlineStr">
        <is>
          <t>No</t>
        </is>
      </c>
      <c r="G697" s="16" t="inlineStr">
        <is>
          <t>DID systems center on network-based real-time verification. Use of DID in offline environments is limited. Distributed storage such as blockchain/IPFS is preferred over removable media.</t>
        </is>
      </c>
      <c r="H697" s="16" t="inlineStr">
        <is>
          <t>-</t>
        </is>
      </c>
      <c r="I697" s="16" t="inlineStr">
        <is>
          <t>Connectivity: offline possible in MITRE vs. online verification required in DID. Data characteristics: executables in MITRE vs. JSON documents in DID. Verification method: local execution in MITRE vs. network verification in DID.</t>
        </is>
      </c>
      <c r="J697" s="16" t="inlineStr">
        <is>
          <t>-</t>
        </is>
      </c>
      <c r="K697" s="16" t="n"/>
      <c r="L697" s="16" t="inlineStr">
        <is>
          <t>https://attack.mitre.org/techniques/T1092</t>
        </is>
      </c>
    </row>
    <row r="698" ht="102.2" customHeight="1" s="7">
      <c r="A698" s="16" t="inlineStr">
        <is>
          <t>Command and Control</t>
        </is>
      </c>
      <c r="B698" s="16" t="inlineStr">
        <is>
          <t>T1659</t>
        </is>
      </c>
      <c r="C698" s="16" t="inlineStr">
        <is>
          <t>Content Injection</t>
        </is>
      </c>
      <c r="D698" s="16" t="n"/>
      <c r="E698" s="16" t="n"/>
      <c r="F698" s="16" t="inlineStr">
        <is>
          <t>Partial</t>
        </is>
      </c>
      <c r="G698" s="16" t="inlineStr">
        <is>
          <t>MITM attacks are possible during DID communication. Content injection is possible in HTTP-based DID resolution. Vulnerabilities exist in QR code-based DID connections.</t>
        </is>
      </c>
      <c r="H698" s="16" t="inlineStr">
        <is>
          <t>Manipulation of network traffic in transit; use of MITM attack techniques; dynamic content insertion; mixing of original and malicious data.</t>
        </is>
      </c>
      <c r="I698" s="16" t="inlineStr">
        <is>
          <t>Verification mechanism: no verification in MITRE vs. digital signature verification in DID. Data integrity: tampering possible in MITRE vs. hash verification in DID. Protocol security: plaintext possible in MITRE vs. HTTPS preferred in DID.</t>
        </is>
      </c>
      <c r="J698" s="16" t="inlineStr">
        <is>
          <t>Adversary-in-the-middle on DID Resolution: manipulate the service endpoint during HTTP DID resolution. Content injection into VC Presentation: manipulate credentialSubject during unencrypted VC transmission. QR code attack: insert additional payloads into QR codes used for DID connections. WebSocket hijacking: inject messages into real-time DIDComm connections.</t>
        </is>
      </c>
      <c r="K698" s="16" t="n"/>
      <c r="L698" s="16" t="inlineStr">
        <is>
          <t>https://attack.mitre.org/techniques/T1659</t>
        </is>
      </c>
    </row>
    <row r="699" ht="102.2" customHeight="1" s="7">
      <c r="A699" s="16" t="inlineStr">
        <is>
          <t>Command and Control</t>
        </is>
      </c>
      <c r="B699" s="16" t="inlineStr">
        <is>
          <t>T1132</t>
        </is>
      </c>
      <c r="C699" s="16" t="inlineStr">
        <is>
          <t>Data Encoding</t>
        </is>
      </c>
      <c r="D699" s="16" t="inlineStr">
        <is>
          <t>T1132.001</t>
        </is>
      </c>
      <c r="E699" s="16" t="inlineStr">
        <is>
          <t>Standard Encoding</t>
        </is>
      </c>
      <c r="F699" s="16" t="inlineStr">
        <is>
          <t>Full</t>
        </is>
      </c>
      <c r="G699" s="16" t="inlineStr">
        <is>
          <t>Base64, Base58, and hex encodings are necessarily used in the W3C DID/VC standards. Encoding is used in standard fields such as publicKeyBase58 and publicKeyHex. Base64URL encoding is standard in JWT-format VCs.</t>
        </is>
      </c>
      <c r="H699" s="16" t="inlineStr">
        <is>
          <t>Use of standard encodings such as ASCII, Unicode, Base64, and hex; compliance with existing protocol specifications; preservation of compatibility and interoperability; provides a compression effect.</t>
        </is>
      </c>
      <c r="I699" s="16" t="inlineStr">
        <is>
          <t>Scope of use: the entire payload in MITRE vs. only specific fields in DID. Verification process: simple decoding in MITRE vs. schema and signature verification in DID. Standards compliance: optional in MITRE vs. mandatory in DID.</t>
        </is>
      </c>
      <c r="J699" s="16" t="inlineStr">
        <is>
          <t>Base64 extension: encode additional data alongside legitimate data in existing Base64 fields. publicKeyBase58 extension: combine additional information with the actual key value in the public key field. JWT payload extension: add custom claims alongside standard claims in the VC JWT payload. Unicode encoding: hide data in JSON-LD string fields using Unicode escape sequences.</t>
        </is>
      </c>
      <c r="K699" s="16" t="n"/>
      <c r="L699" s="16" t="inlineStr">
        <is>
          <t>https://attack.mitre.org/techniques/T1132</t>
        </is>
      </c>
    </row>
    <row r="700" ht="79.84999999999999" customHeight="1" s="7">
      <c r="A700" s="16" t="inlineStr">
        <is>
          <t>Command and Control</t>
        </is>
      </c>
      <c r="B700" s="16" t="inlineStr">
        <is>
          <t>T1132</t>
        </is>
      </c>
      <c r="C700" s="16" t="inlineStr">
        <is>
          <t>Data Encoding</t>
        </is>
      </c>
      <c r="D700" s="16" t="inlineStr">
        <is>
          <t>T1132.002</t>
        </is>
      </c>
      <c r="E700" s="16" t="inlineStr">
        <is>
          <t>Non-Standard Encoding</t>
        </is>
      </c>
      <c r="F700" s="16" t="inlineStr">
        <is>
          <t>Partial</t>
        </is>
      </c>
      <c r="G700" s="16" t="inlineStr">
        <is>
          <t>Custom encodings can be defined through the extensibility of JSON-LD @context. Each DID method can introduce its own encoding scheme. Fully non-standard encoding is difficult because of interoperability constraints.</t>
        </is>
      </c>
      <c r="H700" s="16" t="inlineStr">
        <is>
          <t>Use of custom encoding schemes; algorithms modified from standard methods; difficult to detect and analyze; requires an algorithmic approach.</t>
        </is>
      </c>
      <c r="I700" s="16" t="inlineStr">
        <is>
          <t>Standards compliance: completely free in MITRE vs. compliance with the base schema required in DID. Interoperability: not considered in MITRE vs. a mandatory consideration in DID. Verification complexity: simple in MITRE vs. multi-layered verification in DID.</t>
        </is>
      </c>
      <c r="J700" s="16" t="inlineStr">
        <is>
          <t>@context custom encoding: define a new encoding scheme in the JSON-LD context. Modified Base64: custom Base64 encoding with a reordered alphabet. DID method-specific: a unique encoding used only in a particular DID method. Layered encoding: a composite scheme combining multiple stages of encoding.</t>
        </is>
      </c>
      <c r="K700" s="16" t="n"/>
      <c r="L700" s="16" t="inlineStr">
        <is>
          <t>https://attack.mitre.org/techniques/T1132</t>
        </is>
      </c>
    </row>
    <row r="701" ht="91" customHeight="1" s="7">
      <c r="A701" s="16" t="inlineStr">
        <is>
          <t>Command and Control</t>
        </is>
      </c>
      <c r="B701" s="16" t="inlineStr">
        <is>
          <t>T1001</t>
        </is>
      </c>
      <c r="C701" s="16" t="inlineStr">
        <is>
          <t>Data Obfuscation</t>
        </is>
      </c>
      <c r="D701" s="16" t="inlineStr">
        <is>
          <t>T1001.001</t>
        </is>
      </c>
      <c r="E701" s="16" t="inlineStr">
        <is>
          <t>Junk Data</t>
        </is>
      </c>
      <c r="F701" s="16" t="inlineStr">
        <is>
          <t>Partial</t>
        </is>
      </c>
      <c r="G701" s="16" t="inlineStr">
        <is>
          <t>The extensible property structure of JSON-LD makes it easy to add meaningless data. Dummy data can be inserted into credentialSubject, the service array, and similar places. Junk data can be included while still passing schema validation.</t>
        </is>
      </c>
      <c r="H701" s="16" t="inlineStr">
        <is>
          <t>Concealing actual commands by adding meaningless data; hindering pattern analysis and detection; increasing analysis complexity through larger data size; difficult to distinguish from legitimate data.</t>
        </is>
      </c>
      <c r="I701" s="16" t="inlineStr">
        <is>
          <t>Format constraints: free-form in MITRE vs. the JSON structure must be preserved in DID. Semantic constraints: completely meaningless in MITRE vs. meaningful property names used in DID. Verification process: none in MITRE vs. schema and type validation in DID.</t>
        </is>
      </c>
      <c r="J701" s="16" t="inlineStr">
        <is>
          <t>Dummy credentialSubject properties: add large amounts of meaningless data disguised under meaningful property names. Service array expansion: add many invalid or unreachable endpoints to the DID Document. Proof array manipulation: mix invalid signatures with a valid signature. Unnecessary @context references: include many unused contexts.</t>
        </is>
      </c>
      <c r="K701" s="16" t="n"/>
      <c r="L701" s="16" t="inlineStr">
        <is>
          <t>https://attack.mitre.org/techniques/T1001</t>
        </is>
      </c>
    </row>
    <row r="702" ht="79.84999999999999" customHeight="1" s="7">
      <c r="A702" s="16" t="inlineStr">
        <is>
          <t>Command and Control</t>
        </is>
      </c>
      <c r="B702" s="16" t="inlineStr">
        <is>
          <t>T1001</t>
        </is>
      </c>
      <c r="C702" s="16" t="inlineStr">
        <is>
          <t>Data Obfuscation</t>
        </is>
      </c>
      <c r="D702" s="16" t="inlineStr">
        <is>
          <t>T1001.002</t>
        </is>
      </c>
      <c r="E702" s="16" t="inlineStr">
        <is>
          <t>Steganography</t>
        </is>
      </c>
      <c r="F702" s="16" t="inlineStr">
        <is>
          <t>Partial</t>
        </is>
      </c>
      <c r="G702" s="16" t="inlineStr">
        <is>
          <t>Binary data such as images and documents can be included in a VC's credentialSubject. Image fields such as logo and icon in the DID Document can be used. Steganography can be applied to QR-code representations of DIDs.</t>
        </is>
      </c>
      <c r="H702" s="16" t="inlineStr">
        <is>
          <t>Hiding data in media files such as images and documents; visually difficult to detect; disguised as legitimate files; use of various media formats.</t>
        </is>
      </c>
      <c r="I702" s="16" t="inlineStr">
        <is>
          <t>Media constraints: various formats in MITRE vs. mainly images/documents in DID. Embedding method: the file itself in MITRE vs. Base64-encoded data in DID. Size limit: no limit in MITRE vs. JSON size must be considered in DID.</t>
        </is>
      </c>
      <c r="J702" s="16" t="inlineStr">
        <is>
          <t>VC image data: apply steganography to photos or logos in credentialSubject. DID Document icons: include hidden data in image fields of the DID Document. QR code concealment: insert an additional data layer into QR codes representing a DID. Document attachments: steganography in PDF and other document files attached to a VC.</t>
        </is>
      </c>
      <c r="K702" s="16" t="n"/>
      <c r="L702" s="16" t="inlineStr">
        <is>
          <t>https://attack.mitre.org/techniques/T1001</t>
        </is>
      </c>
    </row>
    <row r="703" ht="91" customHeight="1" s="7">
      <c r="A703" s="16" t="inlineStr">
        <is>
          <t>Command and Control</t>
        </is>
      </c>
      <c r="B703" s="16" t="inlineStr">
        <is>
          <t>T1001</t>
        </is>
      </c>
      <c r="C703" s="16" t="inlineStr">
        <is>
          <t>Data Obfuscation</t>
        </is>
      </c>
      <c r="D703" s="16" t="inlineStr">
        <is>
          <t>T1001.003</t>
        </is>
      </c>
      <c r="E703" s="16" t="inlineStr">
        <is>
          <t>Protocol or Service Impersonation</t>
        </is>
      </c>
      <c r="F703" s="16" t="inlineStr">
        <is>
          <t>Full</t>
        </is>
      </c>
      <c r="G703" s="16" t="inlineStr">
        <is>
          <t>The trust model of the DID ecosystem can be abused to masquerade as a legitimate service. It is easy to impersonate a trusted DID resolver or VC issuer. C2 communication can be carried out in the form of standard DIDComm messages.</t>
        </is>
      </c>
      <c r="H703" s="16" t="inlineStr">
        <is>
          <t>Masquerading as a legitimate protocol or service; mimicking existing communication patterns; impersonating trusted entities; disguise for detection evasion.</t>
        </is>
      </c>
      <c r="I703" s="16" t="inlineStr">
        <is>
          <t>Trust model: simple mimicry in MITRE vs. a cryptographic chain of trust in DID. Verification mechanism: none in MITRE vs. digital signature verification in DID. Standards compliance: partial in MITRE vs. full standards compliance required in DID.</t>
        </is>
      </c>
      <c r="J703" s="16" t="inlineStr">
        <is>
          <t>Fake DID resolver: include malicious functions while masquerading as a legitimate resolver. Impersonated VC issuer: issue malicious VCs by impersonating the DID of a trusted issuer. DIDComm message disguise: C2 communication in the form of standard DIDComm messages. Service endpoint impersonation: provide a malicious API disguised as a legitimate service.</t>
        </is>
      </c>
      <c r="K703" s="16" t="n"/>
      <c r="L703" s="16" t="inlineStr">
        <is>
          <t>https://attack.mitre.org/techniques/T1001</t>
        </is>
      </c>
    </row>
    <row r="704" ht="91" customHeight="1" s="7">
      <c r="A704" s="16" t="inlineStr">
        <is>
          <t>Command and Control</t>
        </is>
      </c>
      <c r="B704" s="16" t="inlineStr">
        <is>
          <t>T1568</t>
        </is>
      </c>
      <c r="C704" s="16" t="inlineStr">
        <is>
          <t>Dynamic Resolution</t>
        </is>
      </c>
      <c r="D704" s="16" t="inlineStr">
        <is>
          <t>T1568.001</t>
        </is>
      </c>
      <c r="E704" s="16" t="inlineStr">
        <is>
          <t>Fast Flux DNS</t>
        </is>
      </c>
      <c r="F704" s="16" t="inlineStr">
        <is>
          <t>Partial</t>
        </is>
      </c>
      <c r="G704" s="16" t="inlineStr">
        <is>
          <t>An effect similar to Fast Flux can be achieved through multiple DID resolvers. The service endpoint of a DID Document can be changed dynamically with a short TTL. Resolver rotation across multiple blockchain networks can be used.</t>
        </is>
      </c>
      <c r="H704" s="16" t="inlineStr">
        <is>
          <t>Detection evasion through rapid IP address changes; use of short TTL values; rotation of multiple IP addresses; bypassing network-based blocking.</t>
        </is>
      </c>
      <c r="I704" s="16" t="inlineStr">
        <is>
          <t>Dependency: DNS-centered in MITRE vs. resolver-centered in DID. What changes: the DNS server in MITRE vs. the service endpoint in DID. Protocol: DNS in MITRE vs. HTTP/HTTPS in DID.</t>
        </is>
      </c>
      <c r="J704" s="16" t="inlineStr">
        <is>
          <t>Multiple DID resolvers: rapidly change by cycling through several resolver IPs. Service endpoint TTL: set the service endpoint of the DID Document with a short TTL. Blockchain network rotation: rapid switching among several blockchain networks. CDN-based changes: rapidly change the IP address of the DID Document using a CDN.</t>
        </is>
      </c>
      <c r="K704" s="16" t="n"/>
      <c r="L704" s="16" t="inlineStr">
        <is>
          <t>https://attack.mitre.org/techniques/T1568</t>
        </is>
      </c>
    </row>
    <row r="705" ht="79.84999999999999" customHeight="1" s="7">
      <c r="A705" s="16" t="inlineStr">
        <is>
          <t>Command and Control</t>
        </is>
      </c>
      <c r="B705" s="16" t="inlineStr">
        <is>
          <t>T1568</t>
        </is>
      </c>
      <c r="C705" s="16" t="inlineStr">
        <is>
          <t>Dynamic Resolution</t>
        </is>
      </c>
      <c r="D705" s="16" t="inlineStr">
        <is>
          <t>T1568.002</t>
        </is>
      </c>
      <c r="E705" s="16" t="inlineStr">
        <is>
          <t>Domain Generation Algorithms</t>
        </is>
      </c>
      <c r="F705" s="16" t="inlineStr">
        <is>
          <t>Full</t>
        </is>
      </c>
      <c r="G705" s="16" t="inlineStr">
        <is>
          <t>The programmability of DID identifiers enables dynamic generation similar to DGA. A seed-based deterministic DID generation algorithm can be implemented. Predictable DID patterns can be generated using time, block height, and similar values.</t>
        </is>
      </c>
      <c r="H705" s="16" t="inlineStr">
        <is>
          <t>Algorithm-based dynamic address generation; use of seed values and time information; predictable patterns; generation of large numbers of candidate addresses.</t>
        </is>
      </c>
      <c r="I705" s="16" t="inlineStr">
        <is>
          <t>Schema constraints: domain format in MITRE vs. compliance with the URI scheme required in DID. Uniqueness: collisions do not matter in MITRE vs. global uniqueness must be guaranteed in DID. Registration process: DNS registration in MITRE vs. blockchain/service registration in DID.</t>
        </is>
      </c>
      <c r="J705" s="16" t="inlineStr">
        <is>
          <t>Time-based DID generation: a deterministic DID algorithm seeded with the current time. Use of block height: DID generation based on the blockchain's block height. Hash chain: use the hash of the previous DID to generate the next DID. Composite seed: a seed combining time, blockchain state, and external data.</t>
        </is>
      </c>
      <c r="K705" s="16" t="n"/>
      <c r="L705" s="16" t="inlineStr">
        <is>
          <t>https://attack.mitre.org/techniques/T1568</t>
        </is>
      </c>
    </row>
    <row r="706" ht="68.65000000000001" customHeight="1" s="7">
      <c r="A706" s="16" t="inlineStr">
        <is>
          <t>Command and Control</t>
        </is>
      </c>
      <c r="B706" s="16" t="inlineStr">
        <is>
          <t>T1568</t>
        </is>
      </c>
      <c r="C706" s="16" t="inlineStr">
        <is>
          <t>Dynamic Resolution</t>
        </is>
      </c>
      <c r="D706" s="16" t="inlineStr">
        <is>
          <t>T1568.003</t>
        </is>
      </c>
      <c r="E706" s="16" t="inlineStr">
        <is>
          <t>DNS Calculation</t>
        </is>
      </c>
      <c r="F706" s="16" t="inlineStr">
        <is>
          <t>No</t>
        </is>
      </c>
      <c r="G706" s="16" t="inlineStr">
        <is>
          <t>DID systems have relatively low dependence on DNS. DNS is used only to a limited extent in the did:web method. Most DID methods are based on blockchains or distributed storage.</t>
        </is>
      </c>
      <c r="H706" s="16" t="inlineStr">
        <is>
          <t>-</t>
        </is>
      </c>
      <c r="I706" s="16" t="inlineStr">
        <is>
          <t>DNS dependence: high in conventional systems vs. low in DID. Computational complexity: simple in conventional systems vs. a complex resolution process in DID. Standardization: unconstrained in conventional systems vs. standards compliance required in DID.</t>
        </is>
      </c>
      <c r="J706" s="16" t="inlineStr">
        <is>
          <t>-</t>
        </is>
      </c>
      <c r="K706" s="16" t="n"/>
      <c r="L706" s="16" t="inlineStr">
        <is>
          <t>https://attack.mitre.org/techniques/T1568</t>
        </is>
      </c>
    </row>
    <row r="707" ht="91" customHeight="1" s="7">
      <c r="A707" s="16" t="inlineStr">
        <is>
          <t>Command and Control</t>
        </is>
      </c>
      <c r="B707" s="16" t="inlineStr">
        <is>
          <t>T1573</t>
        </is>
      </c>
      <c r="C707" s="16" t="inlineStr">
        <is>
          <t>Encrypted Channel</t>
        </is>
      </c>
      <c r="D707" s="16" t="inlineStr">
        <is>
          <t>T1573.001</t>
        </is>
      </c>
      <c r="E707" s="16" t="inlineStr">
        <is>
          <t>Symmetric Cryptography</t>
        </is>
      </c>
      <c r="F707" s="16" t="inlineStr">
        <is>
          <t>Full</t>
        </is>
      </c>
      <c r="G707" s="16" t="inlineStr">
        <is>
          <t>DIDComm v2 necessarily uses symmetric-key encryption such as AES-GCM. Symmetric keys are preferred for encrypting large data for performance reasons. Direct encrypted communication between DIDs through a shared secret is possible.</t>
        </is>
      </c>
      <c r="H707" s="16" t="inlineStr">
        <is>
          <t>Use of symmetric-key algorithms such as AES, DES, and 3DES; fast encryption/decryption performance; based on a shared secret key; suitable for processing large data.</t>
        </is>
      </c>
      <c r="I707" s="16" t="inlineStr">
        <is>
          <t>Algorithm choice: various choices in conventional systems vs. the AES-GCM standard in DID. Key format: raw keys in conventional systems vs. JWK form in DID. Protocol integration: independent in conventional systems vs. integrated with DIDComm in DID.</t>
        </is>
      </c>
      <c r="J707" s="16" t="inlineStr">
        <is>
          <t>DIDComm JWE AES-GCM: include C2 data in standard DIDComm encryption. Shared DID symmetric key: direct encryption between DIDs with a pre-shared symmetric key. VC symmetric encryption: encrypt VC content with AES to hide C2 commands. HMAC-based authentication: protect the C2 channel with symmetric-key message authentication.</t>
        </is>
      </c>
      <c r="K707" s="16" t="n"/>
      <c r="L707" s="16" t="inlineStr">
        <is>
          <t>https://attack.mitre.org/techniques/T1573</t>
        </is>
      </c>
    </row>
    <row r="708" ht="91" customHeight="1" s="7">
      <c r="A708" s="16" t="inlineStr">
        <is>
          <t>Command and Control</t>
        </is>
      </c>
      <c r="B708" s="16" t="inlineStr">
        <is>
          <t>T1573</t>
        </is>
      </c>
      <c r="C708" s="16" t="inlineStr">
        <is>
          <t>Encrypted Channel</t>
        </is>
      </c>
      <c r="D708" s="16" t="inlineStr">
        <is>
          <t>T1573.002</t>
        </is>
      </c>
      <c r="E708" s="16" t="inlineStr">
        <is>
          <t>Asymmetric Cryptography</t>
        </is>
      </c>
      <c r="F708" s="16" t="inlineStr">
        <is>
          <t>Full</t>
        </is>
      </c>
      <c r="G708" s="16" t="inlineStr">
        <is>
          <t>A PKI structure based on the public keys in the DID Document is the default. Key exchange through ECDH keyAgreement is standard. Public-key encryption algorithms such as RSA and ECC are widely used.</t>
        </is>
      </c>
      <c r="H708" s="16" t="inlineStr">
        <is>
          <t>Public-key encryption algorithms such as RSA and ECC; solves the key distribution problem; supports digital signatures; key exchange mechanisms.</t>
        </is>
      </c>
      <c r="I708" s="16" t="inlineStr">
        <is>
          <t>Key format: various formats in MITRE vs. standards such as JWK and publicKeyBase58 in DID. Curve choice: unconstrained in MITRE vs. restricted to secp256k1, P-256, etc. in DID. Separation of purposes: combined in MITRE vs. keys separated by purpose (signing, keyAgreement) in DID.</t>
        </is>
      </c>
      <c r="J708" s="16" t="inlineStr">
        <is>
          <t>Public-key encryption: encrypt C2 messages with the DID Document publicKey. ECDH key exchange: C2 communication after generating a session key through keyAgreement. RSA-based encryption: send C2 commands encrypted with an RSA public key. Use of multiple keys: composite encryption combining several public keys.</t>
        </is>
      </c>
      <c r="K708" s="16" t="n"/>
      <c r="L708" s="16" t="inlineStr">
        <is>
          <t>https://attack.mitre.org/techniques/T1573</t>
        </is>
      </c>
    </row>
    <row r="709" ht="79.84999999999999" customHeight="1" s="7">
      <c r="A709" s="16" t="inlineStr">
        <is>
          <t>Command and Control</t>
        </is>
      </c>
      <c r="B709" s="16" t="inlineStr">
        <is>
          <t>T1008</t>
        </is>
      </c>
      <c r="C709" s="16" t="inlineStr">
        <is>
          <t>Fallback Channels</t>
        </is>
      </c>
      <c r="D709" s="16" t="n"/>
      <c r="E709" s="16" t="n"/>
      <c r="F709" s="16" t="inlineStr">
        <is>
          <t>Partial</t>
        </is>
      </c>
      <c r="G709" s="16" t="inlineStr">
        <is>
          <t>DID Documents support multiple service endpoints. Multiple DID methods and resolvers can be used. Alternative storage such as IPFS can be used when the blockchain network fails.</t>
        </is>
      </c>
      <c r="H709" s="16" t="inlineStr">
        <is>
          <t>Use of an alternative channel when the primary channel fails; maintaining multiple communication paths; failure-handling mechanisms; ensuring stable connectivity.</t>
        </is>
      </c>
      <c r="I709" s="16" t="inlineStr">
        <is>
          <t>Channel diversity: various protocols in MITRE vs. mainly HTTP/DIDComm in DID. Configuration method: manual configuration in MITRE vs. declarative definition in the Document in DID. Detectability: covert in MITRE vs. publicly declared in DID.</t>
        </is>
      </c>
      <c r="J709" s="16" t="inlineStr">
        <is>
          <t>Multiple service endpoints: register several service addresses in the DID Document. DID method fallback: automatic switching among several DID methods. Resolver redundancy: use a secondary resolver when the primary resolver fails. Protocol fallback: sequential attempts HTTP -&gt; DIDComm -&gt; IPFS.</t>
        </is>
      </c>
      <c r="K709" s="16" t="n"/>
      <c r="L709" s="16" t="inlineStr">
        <is>
          <t>https://attack.mitre.org/techniques/T1008</t>
        </is>
      </c>
    </row>
    <row r="710" ht="68.65000000000001" customHeight="1" s="7">
      <c r="A710" s="16" t="inlineStr">
        <is>
          <t>Command and Control</t>
        </is>
      </c>
      <c r="B710" s="16" t="inlineStr">
        <is>
          <t>T1665</t>
        </is>
      </c>
      <c r="C710" s="16" t="inlineStr">
        <is>
          <t>Hide Infrastructure</t>
        </is>
      </c>
      <c r="D710" s="16" t="n"/>
      <c r="E710" s="16" t="n"/>
      <c r="F710" s="16" t="inlineStr">
        <is>
          <t>Partial</t>
        </is>
      </c>
      <c r="G710" s="16" t="inlineStr">
        <is>
          <t>The decentralized nature of DID infrastructure makes physical location tracking difficult. Infrastructure is easy to hide through IPFS and distributed storage. DIDs can be registered across multiple blockchain networks.</t>
        </is>
      </c>
      <c r="H710" s="16" t="inlineStr">
        <is>
          <t>Hiding the physical location of C2 infrastructure; evading detection and blocking; use of distributed architecture; hindering network tracing.</t>
        </is>
      </c>
      <c r="I710" s="16" t="inlineStr">
        <is>
          <t>Degree of distribution: partial in MITRE vs. fundamentally distributed in DID. Transparency: fully hidden in MITRE vs. metadata disclosed in DID. Control method: centralized in MITRE vs. distributed control in DID.</t>
        </is>
      </c>
      <c r="J710" s="16" t="inlineStr">
        <is>
          <t>IPFS hosting: host the DID Document on IPFS to hide the server location. Multiple blockchains: register DIDs across several blockchain networks. CDN use: distribute DID resolver services through a global CDN. Tor network: set the DID service endpoint to a .onion address.</t>
        </is>
      </c>
      <c r="K710" s="16" t="n"/>
      <c r="L710" s="16" t="inlineStr">
        <is>
          <t>https://attack.mitre.org/techniques/T1665</t>
        </is>
      </c>
    </row>
    <row r="711" ht="91" customHeight="1" s="7">
      <c r="A711" s="16" t="inlineStr">
        <is>
          <t>Command and Control</t>
        </is>
      </c>
      <c r="B711" s="16" t="inlineStr">
        <is>
          <t>T1105</t>
        </is>
      </c>
      <c r="C711" s="16" t="inlineStr">
        <is>
          <t>Ingress Tool Transfer</t>
        </is>
      </c>
      <c r="D711" s="16" t="n"/>
      <c r="E711" s="16" t="n"/>
      <c r="F711" s="16" t="inlineStr">
        <is>
          <t>Partial</t>
        </is>
      </c>
      <c r="G711" s="16" t="inlineStr">
        <is>
          <t>Base64-encoded files can be included in a VC's credentialSubject. Additional resources can be downloaded through DID Document service endpoints. Distributed file distribution systems can be used through IPFS integration.</t>
        </is>
      </c>
      <c r="H711" s="16" t="inlineStr">
        <is>
          <t>Transfer of tools/files from external systems; capability extension and distribution of additional payloads; network-based file transfer; dynamic tool loading.</t>
        </is>
      </c>
      <c r="I711" s="16" t="inlineStr">
        <is>
          <t>File size: no limit in MITRE vs. JSON size must be considered in DID. Transfer method: direct transfer in MITRE vs. encoding/reference in DID. Verification: none in MITRE vs. integrity verification possible in DID.</t>
        </is>
      </c>
      <c r="J711" s="16" t="inlineStr">
        <is>
          <t>Embedding files in VCs: include Base64-encoded executables in credentialSubject. Service endpoint download: download tools through the DID Document service. IPFS file distribution: distributed file download through IPFS hashes. Staged loading: a small initial loader -&gt; sequential download of additional modules.</t>
        </is>
      </c>
      <c r="K711" s="16" t="n"/>
      <c r="L711" s="16" t="inlineStr">
        <is>
          <t>https://attack.mitre.org/techniques/T1105</t>
        </is>
      </c>
    </row>
    <row r="712" ht="79.84999999999999" customHeight="1" s="7">
      <c r="A712" s="16" t="inlineStr">
        <is>
          <t>Command and Control</t>
        </is>
      </c>
      <c r="B712" s="16" t="inlineStr">
        <is>
          <t>T1104</t>
        </is>
      </c>
      <c r="C712" s="16" t="inlineStr">
        <is>
          <t>Multi-Stage Channels</t>
        </is>
      </c>
      <c r="D712" s="16" t="n"/>
      <c r="E712" s="16" t="n"/>
      <c r="F712" s="16" t="inlineStr">
        <is>
          <t>Full</t>
        </is>
      </c>
      <c r="G712" s="16" t="inlineStr">
        <is>
          <t>The Holder-Verifier-Issuer triangular structure of the DID ecosystem naturally provides multi-stage communication. Messages can be passed in a chain linking multiple VCs. Multi-stage structure: DID resolver -&gt; service endpoint -&gt; final C2 server.</t>
        </is>
      </c>
      <c r="H712" s="16" t="inlineStr">
        <is>
          <t>Increased complexity through a multi-stage communication structure; difficult to trace and detect; command routing through intermediate stages; hierarchical C2 architecture.</t>
        </is>
      </c>
      <c r="I712" s="16" t="inlineStr">
        <is>
          <t>Structural support: artificially built in MITRE vs. a naturally multi-party structure in DID. Verification stages: none in MITRE vs. verification performed at each stage in DID. Standardization: arbitrary structure in MITRE vs. standardized interactions in DID.</t>
        </is>
      </c>
      <c r="J712" s="16" t="inlineStr">
        <is>
          <t>Use of the three-party structure: deliver commands along the Issuer -&gt; Holder -&gt; Verifier path. VC chain: compose chain-form messages by linking multiple VCs. Resolver chain: a resolution process passing through multiple DID resolvers. Service endpoint relaying: pass sequentially through multiple service endpoints.</t>
        </is>
      </c>
      <c r="K712" s="16" t="n"/>
      <c r="L712" s="16" t="inlineStr">
        <is>
          <t>https://attack.mitre.org/techniques/T1104</t>
        </is>
      </c>
    </row>
    <row r="713" ht="68.65000000000001" customHeight="1" s="7">
      <c r="A713" s="16" t="inlineStr">
        <is>
          <t>Command and Control</t>
        </is>
      </c>
      <c r="B713" s="16" t="inlineStr">
        <is>
          <t>T1095</t>
        </is>
      </c>
      <c r="C713" s="16" t="inlineStr">
        <is>
          <t>Non-Application Layer Protocol</t>
        </is>
      </c>
      <c r="D713" s="16" t="n"/>
      <c r="E713" s="16" t="n"/>
      <c r="F713" s="16" t="inlineStr">
        <is>
          <t>No</t>
        </is>
      </c>
      <c r="G713" s="16" t="inlineStr">
        <is>
          <t>DID systems mainly operate at the HTTP/HTTPS application layer. Compliance with web standards is key to interoperability. Using non-application-layer protocols causes standards-compatibility problems.</t>
        </is>
      </c>
      <c r="H713" s="16" t="inlineStr">
        <is>
          <t>-</t>
        </is>
      </c>
      <c r="I713" s="16" t="inlineStr">
        <is>
          <t>Dependence on standards: unconstrained in MITRE vs. dependent on web standards in DID. Interoperability: not considered in MITRE vs. a mandatory consideration in DID. Protocol scope: various in MITRE vs. HTTP/HTTPS-centered in DID.</t>
        </is>
      </c>
      <c r="J713" s="16" t="inlineStr">
        <is>
          <t>-</t>
        </is>
      </c>
      <c r="K713" s="16" t="n"/>
      <c r="L713" s="16" t="inlineStr">
        <is>
          <t>https://attack.mitre.org/techniques/T1095</t>
        </is>
      </c>
    </row>
    <row r="714" ht="68.65000000000001" customHeight="1" s="7">
      <c r="A714" s="16" t="inlineStr">
        <is>
          <t>Command and Control</t>
        </is>
      </c>
      <c r="B714" s="16" t="inlineStr">
        <is>
          <t>T1571</t>
        </is>
      </c>
      <c r="C714" s="16" t="inlineStr">
        <is>
          <t>Non-Standard Port</t>
        </is>
      </c>
      <c r="D714" s="16" t="n"/>
      <c r="E714" s="16" t="n"/>
      <c r="F714" s="16" t="inlineStr">
        <is>
          <t>No</t>
        </is>
      </c>
      <c r="G714" s="16" t="inlineStr">
        <is>
          <t>DID services commonly use standard web ports (80, 443). Using standard ports is mandatory for interoperability. Using non-standard ports limits accessibility under firewall policies.</t>
        </is>
      </c>
      <c r="H714" s="16" t="inlineStr">
        <is>
          <t>-</t>
        </is>
      </c>
      <c r="I714" s="16" t="inlineStr">
        <is>
          <t>Standards compliance: unconstrained in MITRE vs. standard web ports preferred in DID. Interoperability: not considered in MITRE vs. mandatory in DID. Accessibility: restricted environments possible in MITRE vs. broad access required in DID.</t>
        </is>
      </c>
      <c r="J714" s="16" t="inlineStr">
        <is>
          <t>-</t>
        </is>
      </c>
      <c r="K714" s="16" t="n"/>
      <c r="L714" s="16" t="inlineStr">
        <is>
          <t>https://attack.mitre.org/techniques/T1571</t>
        </is>
      </c>
    </row>
    <row r="715" ht="102.2" customHeight="1" s="7">
      <c r="A715" s="16" t="inlineStr">
        <is>
          <t>Command and Control</t>
        </is>
      </c>
      <c r="B715" s="16" t="inlineStr">
        <is>
          <t>T1572</t>
        </is>
      </c>
      <c r="C715" s="16" t="inlineStr">
        <is>
          <t>Protocol Tunneling</t>
        </is>
      </c>
      <c r="D715" s="16" t="n"/>
      <c r="E715" s="16" t="n"/>
      <c r="F715" s="16" t="inlineStr">
        <is>
          <t>Partial</t>
        </is>
      </c>
      <c r="G715" s="16" t="inlineStr">
        <is>
          <t>Other protocols can be encapsulated within HTTP-based DID communication. Tunneling can be used in real-time DID communication over WebSocket. Payloads of other protocols can be included within DIDComm messages.</t>
        </is>
      </c>
      <c r="H715" s="16" t="inlineStr">
        <is>
          <t>Encapsulating one protocol within another; bypassing firewalls and network filtering; hiding protocol layers; evasive communication through tunneling.</t>
        </is>
      </c>
      <c r="I715" s="16" t="inlineStr">
        <is>
          <t>Underlying protocol: various in MITRE vs. HTTP/HTTPS-centered in DID. Encapsulation method: direct in MITRE vs. embedded within the JSON-LD structure in DID. Verification process: none in MITRE vs. structural validation required in DID.</t>
        </is>
      </c>
      <c r="J715" s="16" t="inlineStr">
        <is>
          <t>SSH tunnel within HTTP: include SSH tunnel data within VC presentation requests. DIDComm encapsulation: include payloads of other protocols in DIDComm messages. WebSocket tunneling: tunnel other protocols inside WebSocket in real-time DID communication. JSON-LD tunneling: include binary protocols encoded in Base64 within the JSON-LD structure.</t>
        </is>
      </c>
      <c r="K715" s="16" t="n"/>
      <c r="L715" s="16" t="inlineStr">
        <is>
          <t>https://attack.mitre.org/techniques/T1572</t>
        </is>
      </c>
    </row>
    <row r="716" ht="102.2" customHeight="1" s="7">
      <c r="A716" s="16" t="inlineStr">
        <is>
          <t>Command and Control</t>
        </is>
      </c>
      <c r="B716" s="16" t="inlineStr">
        <is>
          <t>T1090</t>
        </is>
      </c>
      <c r="C716" s="16" t="inlineStr">
        <is>
          <t>Proxy</t>
        </is>
      </c>
      <c r="D716" s="16" t="inlineStr">
        <is>
          <t>T1090.001</t>
        </is>
      </c>
      <c r="E716" s="16" t="inlineStr">
        <is>
          <t>Internal Proxy</t>
        </is>
      </c>
      <c r="F716" s="16" t="inlineStr">
        <is>
          <t>Full</t>
        </is>
      </c>
      <c r="G716" s="16" t="inlineStr">
        <is>
          <t>The DID ecosystem has a natural internal relay structure among Holder, Verifier, and Issuer. Proxy communication among multiple DID agents within the same organization is possible. Internal proxies can be used in multi-tenant environments inside wallets.</t>
        </is>
      </c>
      <c r="H716" s="16" t="inlineStr">
        <is>
          <t>Proxy communication within the internal network; lateral movement within organizational boundaries; abuse of internal trust relationships; use of existing communication paths.</t>
        </is>
      </c>
      <c r="I716" s="16" t="inlineStr">
        <is>
          <t>Organizational boundaries: clear boundaries in MITRE vs. ambiguous ecosystem boundaries in DID. Trust model: network-based in MITRE vs. cryptographic trust in DID. Relay method: network proxy in MITRE vs. message relay in DID.</t>
        </is>
      </c>
      <c r="J716" s="16" t="inlineStr">
        <is>
          <t>Internal relaying in the three-party structure: internal proxy role among Holder, Verifier, and Issuer. DID agent chain: chained communication among multiple DID agents within the same organization. Wallet-internal proxy: proxy communication between tenants in a multi-tenant wallet. Departmental DID relaying: stepwise command delivery through each department's DID within an organization.</t>
        </is>
      </c>
      <c r="K716" s="16" t="n"/>
      <c r="L716" s="16" t="inlineStr">
        <is>
          <t>https://attack.mitre.org/techniques/T1090</t>
        </is>
      </c>
    </row>
    <row r="717" ht="79.84999999999999" customHeight="1" s="7">
      <c r="A717" s="16" t="inlineStr">
        <is>
          <t>Command and Control</t>
        </is>
      </c>
      <c r="B717" s="16" t="inlineStr">
        <is>
          <t>T1090</t>
        </is>
      </c>
      <c r="C717" s="16" t="inlineStr">
        <is>
          <t>Proxy</t>
        </is>
      </c>
      <c r="D717" s="16" t="inlineStr">
        <is>
          <t>T1090.002</t>
        </is>
      </c>
      <c r="E717" s="16" t="inlineStr">
        <is>
          <t>External Proxy</t>
        </is>
      </c>
      <c r="F717" s="16" t="inlineStr">
        <is>
          <t>Partial</t>
        </is>
      </c>
      <c r="G717" s="16" t="inlineStr">
        <is>
          <t>Public DID resolvers or IPFS gateways can be used as external proxies. Routing through third-party VC verification services has an external proxy effect. External proxies can be implemented through global CDN services.</t>
        </is>
      </c>
      <c r="H717" s="16" t="inlineStr">
        <is>
          <t>Use of external third-party services as proxies; hindering tracing through geographic distribution; dependence on external infrastructure; reliance on the service provider's logs.</t>
        </is>
      </c>
      <c r="I717" s="16" t="inlineStr">
        <is>
          <t>Trust relationship: anonymous in MITRE vs. trust in public services required in DID. Service characteristics: general-purpose proxies in MITRE vs. specialized DID services in DID. Traceability: fully anonymous in MITRE vs. some metadata exposed in DID.</t>
        </is>
      </c>
      <c r="J717" s="16" t="inlineStr">
        <is>
          <t>Use of public resolvers: use a trusted public DID resolver as a proxy. IPFS gateway: access DID Documents through a public IPFS gateway. Third-party verification services: use an external VC verification service as a relay. CDN proxy: external proxying through CloudFlare, AWS CloudFront, and similar services.</t>
        </is>
      </c>
      <c r="K717" s="16" t="n"/>
      <c r="L717" s="16" t="inlineStr">
        <is>
          <t>https://attack.mitre.org/techniques/T1090</t>
        </is>
      </c>
    </row>
    <row r="718" ht="91" customHeight="1" s="7">
      <c r="A718" s="16" t="inlineStr">
        <is>
          <t>Command and Control</t>
        </is>
      </c>
      <c r="B718" s="16" t="inlineStr">
        <is>
          <t>T1090</t>
        </is>
      </c>
      <c r="C718" s="16" t="inlineStr">
        <is>
          <t>Proxy</t>
        </is>
      </c>
      <c r="D718" s="16" t="inlineStr">
        <is>
          <t>T1090.003</t>
        </is>
      </c>
      <c r="E718" s="16" t="inlineStr">
        <is>
          <t>Multi-hop Proxy</t>
        </is>
      </c>
      <c r="F718" s="16" t="inlineStr">
        <is>
          <t>Full</t>
        </is>
      </c>
      <c r="G718" s="16" t="inlineStr">
        <is>
          <t>Given DID's distributed architecture, multi-hop proxy chains can be formed naturally. DID resolution chains can pass through multiple blockchain networks. VC presentation chains can pass through multiple Verifiers.</t>
        </is>
      </c>
      <c r="H718" s="16" t="inlineStr">
        <is>
          <t>Complex routing through multiple hops; tracing the origin is extremely difficult; different proxies used at each hop; geographic/logical distribution.</t>
        </is>
      </c>
      <c r="I718" s="16" t="inlineStr">
        <is>
          <t>Naturalness: artificially built in MITRE vs. structurally natural in DID. Verification stages: simple relaying in MITRE vs. verification performed at each stage in DID. Standardization: arbitrary structure in MITRE vs. standardized multi-party interactions in DID.</t>
        </is>
      </c>
      <c r="J718" s="16" t="inlineStr">
        <is>
          <t>Multiple resolver chain: a long chain of the form DID resolver A -&gt; B -&gt; C -&gt; D. Passing through blockchain networks: pass sequentially through several blockchains. Multiple Verifier chain: VC delivery passing in sequence through several verifying organizations. Regional proxies: pass through different DID infrastructure on each continent.</t>
        </is>
      </c>
      <c r="K718" s="16" t="n"/>
      <c r="L718" s="16" t="inlineStr">
        <is>
          <t>https://attack.mitre.org/techniques/T1090</t>
        </is>
      </c>
    </row>
    <row r="719" ht="79.84999999999999" customHeight="1" s="7">
      <c r="A719" s="16" t="inlineStr">
        <is>
          <t>Command and Control</t>
        </is>
      </c>
      <c r="B719" s="16" t="inlineStr">
        <is>
          <t>T1090</t>
        </is>
      </c>
      <c r="C719" s="16" t="inlineStr">
        <is>
          <t>Proxy</t>
        </is>
      </c>
      <c r="D719" s="16" t="inlineStr">
        <is>
          <t>T1090.004</t>
        </is>
      </c>
      <c r="E719" s="16" t="inlineStr">
        <is>
          <t>Domain Fronting</t>
        </is>
      </c>
      <c r="F719" s="16" t="inlineStr">
        <is>
          <t>Partial</t>
        </is>
      </c>
      <c r="G719" s="16" t="inlineStr">
        <is>
          <t>Domain fronting is possible through DID Documents hosted on a CDN. DID resolver domain fronting using GitHub Pages, AWS CloudFront, and similar services. Bypass through a mismatch between the HTTPS SNI and the Host header.</t>
        </is>
      </c>
      <c r="H719" s="16" t="inlineStr">
        <is>
          <t>Domain circumvention using CDN services; exploiting the mismatch between SNI and the Host header; hiding malicious content behind trusted domains; bypassing inspection through HTTPS encryption.</t>
        </is>
      </c>
      <c r="I719" s="16" t="inlineStr">
        <is>
          <t>Content type: arbitrary content in MITRE vs. JSON-LD documents in DID. Standards compliance: unconstrained in MITRE vs. web standards compliance required in DID. Verification process: none in MITRE vs. Document verification exists in DID.</t>
        </is>
      </c>
      <c r="J719" s="16" t="inlineStr">
        <is>
          <t>CDN DID Document: DID Document fronting through CloudFlare and AWS CloudFront. Use of GitHub Pages: bypass through DID Documents hosted on GitHub Pages. Azure CDN fronting: DID resolver bypass through Microsoft Azure CDN. Combination of multiple CDNs: composite fronting combining several CDN services.</t>
        </is>
      </c>
      <c r="K719" s="16" t="n"/>
      <c r="L719" s="16" t="inlineStr">
        <is>
          <t>https://attack.mitre.org/techniques/T1090</t>
        </is>
      </c>
    </row>
    <row r="720" ht="46.25" customHeight="1" s="7">
      <c r="A720" s="16" t="inlineStr">
        <is>
          <t>Command and Control</t>
        </is>
      </c>
      <c r="B720" s="16" t="inlineStr">
        <is>
          <t>T1219</t>
        </is>
      </c>
      <c r="C720" s="16" t="inlineStr">
        <is>
          <t>Remote Access Tools</t>
        </is>
      </c>
      <c r="D720" s="16" t="inlineStr">
        <is>
          <t>T1219.001</t>
        </is>
      </c>
      <c r="E720" s="16" t="inlineStr">
        <is>
          <t>IDE Tunneling</t>
        </is>
      </c>
      <c r="F720" s="16" t="inlineStr">
        <is>
          <t>No</t>
        </is>
      </c>
      <c r="G720" s="16" t="inlineStr">
        <is>
          <t>A limited association exists only in DID development environments. IDEs are used when developing DID SDKs or blockchains, but this is separate from tunneling. In typical DID usage environments, IDEs are irrelevant.</t>
        </is>
      </c>
      <c r="H720" s="16" t="inlineStr">
        <is>
          <t>-</t>
        </is>
      </c>
      <c r="I720" s="16" t="inlineStr">
        <is>
          <t>Scope of use: general in MITRE vs. limited to development environments in DID. Necessity: an essential tool in MITRE vs. optional use in DID. Association: direct in MITRE vs. indirect in DID.</t>
        </is>
      </c>
      <c r="J720" s="16" t="inlineStr">
        <is>
          <t>-</t>
        </is>
      </c>
      <c r="K720" s="16" t="n"/>
      <c r="L720" s="16" t="inlineStr">
        <is>
          <t>https://attack.mitre.org/techniques/T1219</t>
        </is>
      </c>
    </row>
    <row r="721" ht="68.65000000000001" customHeight="1" s="7">
      <c r="A721" s="16" t="inlineStr">
        <is>
          <t>Command and Control</t>
        </is>
      </c>
      <c r="B721" s="16" t="inlineStr">
        <is>
          <t>T1219</t>
        </is>
      </c>
      <c r="C721" s="16" t="inlineStr">
        <is>
          <t>Remote Access Tools</t>
        </is>
      </c>
      <c r="D721" s="16" t="inlineStr">
        <is>
          <t>T1219.002</t>
        </is>
      </c>
      <c r="E721" s="16" t="inlineStr">
        <is>
          <t>Remote Desktop Software</t>
        </is>
      </c>
      <c r="F721" s="16" t="inlineStr">
        <is>
          <t>No</t>
        </is>
      </c>
      <c r="G721" s="16" t="inlineStr">
        <is>
          <t>There is little direct association between DID's own functions and remote desktop software. DID is used only at the authentication stage and is separate from remote control functions. An association exists only in an auxiliary role.</t>
        </is>
      </c>
      <c r="H721" s="16" t="inlineStr">
        <is>
          <t>-</t>
        </is>
      </c>
      <c r="I721" s="16" t="inlineStr">
        <is>
          <t>Role: the primary tool in MITRE vs. an auxiliary means of authentication in DID. Function: control-centered in MITRE vs. identity-verification-centered in DID. Independence: operates independently in MITRE vs. depends on other systems in DID.</t>
        </is>
      </c>
      <c r="J721" s="16" t="inlineStr">
        <is>
          <t>-</t>
        </is>
      </c>
      <c r="K721" s="16" t="n"/>
      <c r="L721" s="16" t="inlineStr">
        <is>
          <t>https://attack.mitre.org/techniques/T1219</t>
        </is>
      </c>
    </row>
    <row r="722" ht="46.25" customHeight="1" s="7">
      <c r="A722" s="16" t="inlineStr">
        <is>
          <t>Command and Control</t>
        </is>
      </c>
      <c r="B722" s="16" t="inlineStr">
        <is>
          <t>T1219</t>
        </is>
      </c>
      <c r="C722" s="16" t="inlineStr">
        <is>
          <t>Remote Access Tools</t>
        </is>
      </c>
      <c r="D722" s="16" t="inlineStr">
        <is>
          <t>T1219.003</t>
        </is>
      </c>
      <c r="E722" s="16" t="inlineStr">
        <is>
          <t>Remote Access Hardware</t>
        </is>
      </c>
      <c r="F722" s="16" t="inlineStr">
        <is>
          <t>No</t>
        </is>
      </c>
      <c r="G722" s="16" t="inlineStr">
        <is>
          <t>The association between DID and hardware-based remote access is very limited. It is relevant only when DID keys are stored in an HSM or hardware wallet. There is a gap between physical hardware access and the digital nature of DID.</t>
        </is>
      </c>
      <c r="H722" s="16" t="inlineStr">
        <is>
          <t>-</t>
        </is>
      </c>
      <c r="I722" s="16" t="inlineStr">
        <is>
          <t>Access level: hardware level in MITRE vs. software level in DID. Physicality: physical in MITRE vs. digital in DID. Association: direct in MITRE vs. very indirect in DID.</t>
        </is>
      </c>
      <c r="J722" s="16" t="inlineStr">
        <is>
          <t>-</t>
        </is>
      </c>
      <c r="K722" s="16" t="n"/>
      <c r="L722" s="16" t="inlineStr">
        <is>
          <t>https://attack.mitre.org/techniques/T1219</t>
        </is>
      </c>
    </row>
    <row r="723" ht="46.25" customHeight="1" s="7">
      <c r="A723" s="16" t="inlineStr">
        <is>
          <t>Command and Control</t>
        </is>
      </c>
      <c r="B723" s="16" t="inlineStr">
        <is>
          <t>T1205</t>
        </is>
      </c>
      <c r="C723" s="16" t="inlineStr">
        <is>
          <t>Traffic Signaling</t>
        </is>
      </c>
      <c r="D723" s="16" t="inlineStr">
        <is>
          <t>T1205.001</t>
        </is>
      </c>
      <c r="E723" s="16" t="inlineStr">
        <is>
          <t>Port Knocking</t>
        </is>
      </c>
      <c r="F723" s="16" t="inlineStr">
        <is>
          <t>No</t>
        </is>
      </c>
      <c r="G723" s="16" t="inlineStr">
        <is>
          <t>Traditional port knocking is of little use in DID systems. Given the HTTP-based nature of DID, the notion of ports is weak. Access centered on API endpoints is the mainstream approach.</t>
        </is>
      </c>
      <c r="H723" s="16" t="inlineStr">
        <is>
          <t>-</t>
        </is>
      </c>
      <c r="I723" s="16" t="inlineStr">
        <is>
          <t>Level: network level in MITRE vs. application level in DID. Medium: ports in MITRE vs. API endpoints in DID. Protocol: various protocols in MITRE vs. HTTP-centered in DID.</t>
        </is>
      </c>
      <c r="J723" s="16" t="inlineStr">
        <is>
          <t>-</t>
        </is>
      </c>
      <c r="K723" s="16" t="n"/>
      <c r="L723" s="16" t="inlineStr">
        <is>
          <t>https://attack.mitre.org/techniques/T1205</t>
        </is>
      </c>
    </row>
    <row r="724" ht="57.45" customHeight="1" s="7">
      <c r="A724" s="16" t="inlineStr">
        <is>
          <t>Command and Control</t>
        </is>
      </c>
      <c r="B724" s="16" t="inlineStr">
        <is>
          <t>T1205</t>
        </is>
      </c>
      <c r="C724" s="16" t="inlineStr">
        <is>
          <t>Traffic Signaling</t>
        </is>
      </c>
      <c r="D724" s="16" t="inlineStr">
        <is>
          <t>T1205.002</t>
        </is>
      </c>
      <c r="E724" s="16" t="inlineStr">
        <is>
          <t>Socket Filters</t>
        </is>
      </c>
      <c r="F724" s="16" t="inlineStr">
        <is>
          <t>No</t>
        </is>
      </c>
      <c r="G724" s="16" t="inlineStr">
        <is>
          <t>The applicability of socket-level filtering in DID systems is limited. Given DID's application-level focus, it has little association with socket filters. HTTP request analysis is more important than socket filters.</t>
        </is>
      </c>
      <c r="H724" s="16" t="inlineStr">
        <is>
          <t>-</t>
        </is>
      </c>
      <c r="I724" s="16" t="inlineStr">
        <is>
          <t>Analysis level: socket/packet level in MITRE vs. HTTP/JSON level in DID. Complexity: low-level in MITRE vs. high-level structural analysis in DID. Tools: libpcap and similar in MITRE vs. JSON parsers in DID.</t>
        </is>
      </c>
      <c r="J724" s="16" t="inlineStr">
        <is>
          <t>-</t>
        </is>
      </c>
      <c r="K724" s="16" t="n"/>
      <c r="L724" s="16" t="inlineStr">
        <is>
          <t>https://attack.mitre.org/techniques/T1205</t>
        </is>
      </c>
    </row>
    <row r="725" ht="91" customHeight="1" s="7">
      <c r="A725" s="16" t="inlineStr">
        <is>
          <t>Command and Control</t>
        </is>
      </c>
      <c r="B725" s="16" t="inlineStr">
        <is>
          <t>T1102</t>
        </is>
      </c>
      <c r="C725" s="16" t="inlineStr">
        <is>
          <t>Web Service</t>
        </is>
      </c>
      <c r="D725" s="16" t="inlineStr">
        <is>
          <t>T1102.001</t>
        </is>
      </c>
      <c r="E725" s="16" t="inlineStr">
        <is>
          <t>Dead Drop Resolver</t>
        </is>
      </c>
      <c r="F725" s="16" t="inlineStr">
        <is>
          <t>Full</t>
        </is>
      </c>
      <c r="G725" s="16" t="inlineStr">
        <is>
          <t>DID Documents hosted on web services can contain additional C2 infrastructure information. VCs stored on GitHub, Pastebin, and similar services can provide the actual C2 server address. Web services acting as DID resolvers can be used as intermediate information stores.</t>
        </is>
      </c>
      <c r="H725" s="16" t="inlineStr">
        <is>
          <t>Use of web services as intermediate information stores; indirect connection to the actual C2 infrastructure; multi-stage resolution process; disguised as legitimate web services.</t>
        </is>
      </c>
      <c r="I725" s="16" t="inlineStr">
        <is>
          <t>Information format: arbitrary format in MITRE vs. standardized JSON-LD in DID. Resolution process: simple in MITRE vs. a standard resolution process in DID. Trustworthiness: anonymous in MITRE vs. digital signatures verifiable in DID.</t>
        </is>
      </c>
      <c r="J725" s="16" t="inlineStr">
        <is>
          <t>GitHub DID Document: a DID Document stored on GitHub contains the actual C2 address. Pastebin VC information: a VC posted on Pastebin provides additional infrastructure information. Twitter DID hash: hide the DID resolver address in Twitter posts. Medium blog: C2 data alongside DID-related information in Medium blog posts.</t>
        </is>
      </c>
      <c r="K725" s="16" t="n"/>
      <c r="L725" s="16" t="inlineStr">
        <is>
          <t>https://attack.mitre.org/techniques/T1102</t>
        </is>
      </c>
    </row>
    <row r="726" ht="91" customHeight="1" s="7">
      <c r="A726" s="16" t="inlineStr">
        <is>
          <t>Command and Control</t>
        </is>
      </c>
      <c r="B726" s="16" t="inlineStr">
        <is>
          <t>T1102</t>
        </is>
      </c>
      <c r="C726" s="16" t="inlineStr">
        <is>
          <t>Web Service</t>
        </is>
      </c>
      <c r="D726" s="16" t="inlineStr">
        <is>
          <t>T1102.002</t>
        </is>
      </c>
      <c r="E726" s="16" t="inlineStr">
        <is>
          <t>Bidirectional Communication</t>
        </is>
      </c>
      <c r="F726" s="16" t="inlineStr">
        <is>
          <t>Full</t>
        </is>
      </c>
      <c r="G726" s="16" t="inlineStr">
        <is>
          <t>DID-based bidirectional communication can be carried out on public platforms. Bidirectional message exchange through GitHub Issues/PRs, IPFS pubsub, and similar channels. Communication on various web services by exploiting DID's interoperability.</t>
        </is>
      </c>
      <c r="H726" s="16" t="inlineStr">
        <is>
          <t>Bidirectional commands/responses through web services; interactive C2 control; real-time interaction possible; disguised as legitimate service activity.</t>
        </is>
      </c>
      <c r="I726" s="16" t="inlineStr">
        <is>
          <t>Message format: arbitrary format in MITRE vs. structured JSON-LD in DID. Authentication: simple in MITRE vs. based on digital signatures in DID. Standardization: unconstrained in MITRE vs. compliance with standard protocols in DID.</t>
        </is>
      </c>
      <c r="J726" s="16" t="inlineStr">
        <is>
          <t>GitHub Issue communication: deliver DID-based commands and receive results through GitHub Issues. IPFS PubSub: DID-based bidirectional communication through IPFS's pubsub function. Twitter DM: send and receive commands in VC form via Twitter DMs. Discord/Slack: communication in the form of DIDComm messages on messenger platforms.</t>
        </is>
      </c>
      <c r="K726" s="16" t="n"/>
      <c r="L726" s="16" t="inlineStr">
        <is>
          <t>https://attack.mitre.org/techniques/T1102</t>
        </is>
      </c>
    </row>
    <row r="727" ht="91" customHeight="1" s="7">
      <c r="A727" s="16" t="inlineStr">
        <is>
          <t>Command and Control</t>
        </is>
      </c>
      <c r="B727" s="16" t="inlineStr">
        <is>
          <t>T1102</t>
        </is>
      </c>
      <c r="C727" s="16" t="inlineStr">
        <is>
          <t>Web Service</t>
        </is>
      </c>
      <c r="D727" s="16" t="inlineStr">
        <is>
          <t>T1102.003</t>
        </is>
      </c>
      <c r="E727" s="16" t="inlineStr">
        <is>
          <t>One-Way Communication</t>
        </is>
      </c>
      <c r="F727" s="16" t="inlineStr">
        <is>
          <t>Partial</t>
        </is>
      </c>
      <c r="G727" s="16" t="inlineStr">
        <is>
          <t>Post only commands on a public platform and receive results through a separate channel. Detection is evaded by separating command distribution from result collection. Various DID communication channels are used in combination.</t>
        </is>
      </c>
      <c r="H727" s="16" t="inlineStr">
        <is>
          <t>One-way command propagation through web services; use of a separate response channel; channel separation for detection evasion; large-scale command distribution possible.</t>
        </is>
      </c>
      <c r="I727" s="16" t="inlineStr">
        <is>
          <t>Channel combination: simple separation in MITRE vs. combination of various DID channels in DID. Format consistency: free format in MITRE vs. standard format preserved in DID. Verification: none in MITRE vs. signature verification possible in DID.</t>
        </is>
      </c>
      <c r="J727" s="16" t="inlineStr">
        <is>
          <t>Twitter VC + DIDComm: post commands in VC form on Twitter and send results via DIDComm. Medium blog + email: post a DID Document on Medium and receive results by email. YouTube + IPFS: encode commands in the YouTube description and upload results to IPFS. GitHub + Tor: publish commands on GitHub and send results over the Tor network.</t>
        </is>
      </c>
      <c r="K727" s="16" t="n"/>
      <c r="L727" s="16" t="inlineStr">
        <is>
          <t>https://attack.mitre.org/techniques/T1102</t>
        </is>
      </c>
    </row>
    <row r="728" ht="158.2" customHeight="1" s="7">
      <c r="A728" s="16" t="inlineStr">
        <is>
          <t>Exfiltration</t>
        </is>
      </c>
      <c r="B728" s="16" t="inlineStr">
        <is>
          <t>T1020</t>
        </is>
      </c>
      <c r="C728" s="16" t="inlineStr">
        <is>
          <t>Automated Exfiltration</t>
        </is>
      </c>
      <c r="D728" s="16" t="n"/>
      <c r="E728" s="16" t="inlineStr">
        <is>
          <t>Exfiltration Over Command and Control Channel</t>
        </is>
      </c>
      <c r="F728" s="16" t="inlineStr">
        <is>
          <t>Partial</t>
        </is>
      </c>
      <c r="G728" s="16" t="inlineStr">
        <is>
          <t>A DID system exchanges data between decentralized clients and centralized servers (VC issuers, verifiers, etc.), and VCs, JWTs, user information, and other data collected in this process may be sent externally through automated tools. However, because data is transmitted as VC-based JSON objects and file formats rather than through OS-level data theft in the traditional sense, it aligns with only some automated exfiltration techniques.
[Structural relevance]
DID Wallet (Client): Medium (VC/JWT collection and submission can be automated)
DID Agent Server: High (verified VCs can be sent to or collected by external APIs)
CredentialStatus API: Low (no data exfiltration function beyond status lookup)</t>
        </is>
      </c>
      <c r="H728" s="16" t="inlineStr">
        <is>
          <t>1. VC or JWT data can be sent externally and repeatedly through automation scripts (Python, JS, etc.).
2. Stolen data can be uploaded automatically in structured forms such as .jwt, .vc.json, and .ld+json.</t>
        </is>
      </c>
      <c r="I728" s="16" t="inlineStr">
        <is>
          <t>DID system</t>
        </is>
      </c>
      <c r="J728" s="16" t="inlineStr">
        <is>
          <t>1. Track server-side data upload events during VC submission, and provide detection logic for automated periodic submission/transmission.
2. Strengthen automated exfiltration detection logic based on criteria such as API usage history in server logs, IP/token-based submission patterns, and VC format anomalies.
3. In particular, when decentralized VC sharing tools (IPFS, Dropbox, etc.) are used, upload paths/hashes need to be verified.</t>
        </is>
      </c>
      <c r="K728" s="16" t="inlineStr">
        <is>
          <t>"Exfiltration Over Command and Control Channel" is not a v17 sub-technique of T1020; kept as analyzed</t>
        </is>
      </c>
      <c r="L728" s="16" t="inlineStr">
        <is>
          <t>https://attack.mitre.org/techniques/T1020</t>
        </is>
      </c>
    </row>
    <row r="729" ht="147" customHeight="1" s="7">
      <c r="A729" s="16" t="inlineStr">
        <is>
          <t>Exfiltration</t>
        </is>
      </c>
      <c r="B729" s="16" t="inlineStr">
        <is>
          <t>T1030</t>
        </is>
      </c>
      <c r="C729" s="16" t="inlineStr">
        <is>
          <t>Data Transfer Size Limits</t>
        </is>
      </c>
      <c r="D729" s="16" t="n"/>
      <c r="E729" s="16" t="n"/>
      <c r="F729" s="16" t="inlineStr">
        <is>
          <t>Partial</t>
        </is>
      </c>
      <c r="G729" s="16" t="inlineStr">
        <is>
          <t>DID systems mostly handle small JSON-based authentication data such as VCs and JWTs, and transfer volumes are generally smaller than file-level transfers. However, an attacker seeking to exfiltrate multiple VCs, metadata, or large proof files can split VCs or repeatedly send small data units. API-based traffic analysis and anomalous flow detection, rather than traditional file-based chunking, are key.
[Structural relevance]
DID Wallet (Client): Medium (repeated calls can occur when submitting many VCs)
DID Agent Server: High (repeated response/request transmission patterns can occur when processing VC sets)
CredentialStatus API: Low (centered on single status requests; no sustained traffic)</t>
        </is>
      </c>
      <c r="H729" s="16" t="inlineStr">
        <is>
          <t>1. Detection can be evaded by repeatedly sending small JSON documents (VCs, JWTs, etc.) at fixed intervals.
2. Split transmission can be applied when sending large Verifiable Presentations or bundle formats.</t>
        </is>
      </c>
      <c r="I729" s="16" t="inlineStr">
        <is>
          <t>DID system</t>
        </is>
      </c>
      <c r="J729" s="16" t="inlineStr">
        <is>
          <t>1. Frequency-based rate limiting and anomaly detection are needed for VC verification/issuance API calls.
2. Build an anomalous traffic detection model based on the number of VC submissions per time interval, data size per request, repeated calls from the same IP, and similar features.
3. Correlation analysis of call sequences is needed to counter exfiltration that splits large VC files into multiple pieces or uses split API calls.</t>
        </is>
      </c>
      <c r="K729" s="16" t="n"/>
      <c r="L729" s="16" t="inlineStr">
        <is>
          <t>https://attack.mitre.org/techniques/T1030</t>
        </is>
      </c>
    </row>
    <row r="730" ht="180.55" customHeight="1" s="7">
      <c r="A730" s="16" t="inlineStr">
        <is>
          <t>Exfiltration</t>
        </is>
      </c>
      <c r="B730" s="16" t="inlineStr">
        <is>
          <t>T1048</t>
        </is>
      </c>
      <c r="C730" s="16" t="inlineStr">
        <is>
          <t>Exfiltration Over Alternative Protocol</t>
        </is>
      </c>
      <c r="D730" s="16" t="inlineStr">
        <is>
          <t>T1048.001</t>
        </is>
      </c>
      <c r="E730" s="16" t="inlineStr">
        <is>
          <t>Exfiltration Over Symmetric Encrypted Non-C2 Protocol</t>
        </is>
      </c>
      <c r="F730" s="16" t="inlineStr">
        <is>
          <t>Full</t>
        </is>
      </c>
      <c r="G730" s="16" t="inlineStr">
        <is>
          <t>DID backend systems in practice often include data transfer structures over various protocols other than C2, such as FTP, HTTP APIs, cloud storage APIs, and webhooks. Authentication logs, VCs, signatures, and similar data can be sent externally, which can lead to misuse of IAM privileges.
[Structural relevance]
DID Wallet (Client): Medium (network control is weak, but local files can be encrypted and uploaded externally)
DID Agent Server: High (VC data can be exfiltrated from VC verification APIs and log systems)
CredentialStatus API: Medium (information leakage is possible at points where VC status information is sent to external APIs)</t>
        </is>
      </c>
      <c r="H730" s="16" t="inlineStr">
        <is>
          <t>1. VCs or user information can leak through other paths via cloud storage (Google Drive, AWS S3, OneDrive, etc.) and external APIs.
2. VCs and key files may be transferred through commands such as curl, wget, scp, and email APIs.
3. Even without a C2 channel, unauthorized transmission through paths outside the authentication flow can be regarded as actual exfiltration.</t>
        </is>
      </c>
      <c r="I730" s="16" t="inlineStr">
        <is>
          <t>DID system</t>
        </is>
      </c>
      <c r="J730" s="16" t="inlineStr">
        <is>
          <t>1. VC creation/storage/verification functions in the authentication system should filter the domains/IPs of external transmission targets against an allowlist.
2. Make encryption and logging mandatory before and after transmission for sensitive data such as JWTs and VCs.
3. Restrict execution of transfer commands (curl, ftp, scp, etc.) available to administrator accounts or backend services.
4. When using cloud APIs (e.g., PutObject, SendEmail, UploadFile), apply fine-grained IAM role-based scoping and integrate DLP policies.
5. Consider introducing a user approval UI and anomaly alerts when a decentralized client attempts to send VCs externally.</t>
        </is>
      </c>
      <c r="K730" s="16" t="n"/>
      <c r="L730" s="16" t="inlineStr">
        <is>
          <t>https://attack.mitre.org/techniques/T1048</t>
        </is>
      </c>
    </row>
    <row r="731" ht="180.55" customHeight="1" s="7">
      <c r="A731" s="16" t="inlineStr">
        <is>
          <t>Exfiltration</t>
        </is>
      </c>
      <c r="B731" s="16" t="inlineStr">
        <is>
          <t>T1048</t>
        </is>
      </c>
      <c r="C731" s="16" t="inlineStr">
        <is>
          <t>Exfiltration Over Alternative Protocol</t>
        </is>
      </c>
      <c r="D731" s="16" t="inlineStr">
        <is>
          <t>T1048.002</t>
        </is>
      </c>
      <c r="E731" s="16" t="inlineStr">
        <is>
          <t>Exfiltration Over Asymmetric Encrypted Non-C2 Protocol</t>
        </is>
      </c>
      <c r="F731" s="16" t="inlineStr">
        <is>
          <t>Full</t>
        </is>
      </c>
      <c r="G731" s="16" t="inlineStr">
        <is>
          <t>DID backend systems in practice often include data transfer structures over various protocols other than C2, such as FTP, HTTP APIs, cloud storage APIs, and webhooks. Authentication logs, VCs, signatures, and similar data can be sent externally, which can lead to misuse of IAM privileges.
[Structural relevance]
DID Wallet (Client): Medium (network control is weak, but local files can be encrypted and uploaded externally)
DID Agent Server: High (VC data can be exfiltrated from VC verification APIs and log systems)
CredentialStatus API: Medium (information leakage is possible at points where VC status information is sent to external APIs)</t>
        </is>
      </c>
      <c r="H731" s="16" t="inlineStr">
        <is>
          <t>1. VCs or user information can leak through other paths via cloud storage (Google Drive, AWS S3, OneDrive, etc.) and external APIs.
2. VCs and key files may be transferred through commands such as curl, wget, scp, and email APIs.
3. Even without a C2 channel, unauthorized transmission through paths outside the authentication flow can be regarded as actual exfiltration.</t>
        </is>
      </c>
      <c r="I731" s="16" t="inlineStr">
        <is>
          <t>VCs, DID tokens, JWTs, etc.</t>
        </is>
      </c>
      <c r="J731" s="16" t="inlineStr">
        <is>
          <t>1. VC creation/storage/verification functions in the authentication system should filter the domains/IPs of external transmission targets against an allowlist.
2. Make encryption and logging mandatory before and after transmission for sensitive data such as JWTs and VCs.
3. Restrict execution of transfer commands (curl, ftp, scp, etc.) available to administrator accounts or backend services.
4. When using cloud APIs (e.g., PutObject, SendEmail, UploadFile), apply fine-grained IAM role-based scoping and integrate DLP policies.
5. Consider introducing a user approval UI and anomaly alerts when a decentralized client attempts to send VCs externally.</t>
        </is>
      </c>
      <c r="K731" s="16" t="n"/>
      <c r="L731" s="16" t="inlineStr">
        <is>
          <t>https://attack.mitre.org/techniques/T1048</t>
        </is>
      </c>
    </row>
    <row r="732" ht="180.55" customHeight="1" s="7">
      <c r="A732" s="16" t="inlineStr">
        <is>
          <t>Exfiltration</t>
        </is>
      </c>
      <c r="B732" s="16" t="inlineStr">
        <is>
          <t>T1048</t>
        </is>
      </c>
      <c r="C732" s="16" t="inlineStr">
        <is>
          <t>Exfiltration Over Alternative Protocol</t>
        </is>
      </c>
      <c r="D732" s="16" t="inlineStr">
        <is>
          <t>T1048.003</t>
        </is>
      </c>
      <c r="E732" s="16" t="inlineStr">
        <is>
          <t>Exfiltration Over Unencrypted Non-C2 Protocol</t>
        </is>
      </c>
      <c r="F732" s="16" t="inlineStr">
        <is>
          <t>Full</t>
        </is>
      </c>
      <c r="G732" s="16" t="inlineStr">
        <is>
          <t>DID backend systems in practice often include data transfer structures over various protocols other than C2, such as FTP, HTTP APIs, cloud storage APIs, and webhooks. Authentication logs, VCs, signatures, and similar data can be sent externally, which can lead to misuse of IAM privileges.
[Structural relevance]
DID Wallet (Client): Medium (network control is weak, but local files can be encrypted and uploaded externally)
DID Agent Server: High (VC data can be exfiltrated from VC verification APIs and log systems)
CredentialStatus API: Medium (information leakage is possible at points where VC status information is sent to external APIs)</t>
        </is>
      </c>
      <c r="H732" s="16" t="inlineStr">
        <is>
          <t>1. VCs or user information can leak through other paths via cloud storage (Google Drive, AWS S3, OneDrive, etc.) and external APIs.
2. VCs and key files may be transferred through commands such as curl, wget, scp, and email APIs.
3. Even without a C2 channel, unauthorized transmission through paths outside the authentication flow can be regarded as actual exfiltration.</t>
        </is>
      </c>
      <c r="I732" s="16" t="inlineStr">
        <is>
          <t>Authentication microservices and cloud serverless APIs.</t>
        </is>
      </c>
      <c r="J732" s="16" t="inlineStr">
        <is>
          <t>1. VC creation/storage/verification functions in the authentication system should filter the domains/IPs of external transmission targets against an allowlist.
2. Make encryption and logging mandatory before and after transmission for sensitive data such as JWTs and VCs.
3. Restrict execution of transfer commands (curl, ftp, scp, etc.) available to administrator accounts or backend services.
4. When using cloud APIs (e.g., PutObject, SendEmail, UploadFile), apply fine-grained IAM role-based scoping and integrate DLP policies.
5. Consider introducing a user approval UI and anomaly alerts when a decentralized client attempts to send VCs externally.</t>
        </is>
      </c>
      <c r="K732" s="16" t="n"/>
      <c r="L732" s="16" t="inlineStr">
        <is>
          <t>https://attack.mitre.org/techniques/T1048</t>
        </is>
      </c>
    </row>
    <row r="733" ht="147" customHeight="1" s="7">
      <c r="A733" s="16" t="inlineStr">
        <is>
          <t>Exfiltration</t>
        </is>
      </c>
      <c r="B733" s="16" t="inlineStr">
        <is>
          <t>T1041</t>
        </is>
      </c>
      <c r="C733" s="16" t="inlineStr">
        <is>
          <t>Exfiltration Over C2 Channel</t>
        </is>
      </c>
      <c r="D733" s="16" t="n"/>
      <c r="E733" s="16" t="n"/>
      <c r="F733" s="16" t="inlineStr">
        <is>
          <t>Full</t>
        </is>
      </c>
      <c r="G733" s="16" t="inlineStr">
        <is>
          <t>DID systems generally do not maintain persistent C2 channels and adopt one-way, call-based architectures (RPC, REST APIs, webhooks, etc.). However, when a decentralized verifier or VC issuer maintains a long-lived external connection and sends status information/logs, WebSocket-based transmission of verification results or status feedback can be abused like C2.
[Structural relevance]
DID Agent Server: Medium (when sending verification results to external APIs or recording them in the cloud)
VC issuer + status recording module: Medium (unintended information transmission through issuance-status transmission APIs)
Off-chain analysis/log integration module: High (when external transmission channels such as Webhook, Stream, or EventSink exist)</t>
        </is>
      </c>
      <c r="H733" s="16" t="inlineStr">
        <is>
          <t>1. DID systems also use the same general protocols, such as HTTP(S) and WebSocket, when communicating with external systems.
2. If data transmission is encrypted/encoded, it is easy for an attacker to hide stolen information.
3. Information can leak if verification flows or user request logs are unintentionally included.</t>
        </is>
      </c>
      <c r="I733" s="16" t="inlineStr">
        <is>
          <t>DID system</t>
        </is>
      </c>
      <c r="J733" s="16" t="inlineStr">
        <is>
          <t>1. Allowlist-based filtering is needed for data included in external transmission APIs or webhook responses.
2. Apply destination verification (e.g., IP allowlists) to transmission channels for VCs and authentication logs.
3. Separate sensitive information (user DIDs, VC issuance results, etc.) from server logs and response data.
4. Long-lived connection setups (e.g., WebSocket) require timeouts, destination restrictions, and data volume control.</t>
        </is>
      </c>
      <c r="K733" s="16" t="n"/>
      <c r="L733" s="16" t="inlineStr">
        <is>
          <t>https://attack.mitre.org/techniques/T1041</t>
        </is>
      </c>
    </row>
    <row r="734" ht="191.75" customHeight="1" s="7">
      <c r="A734" s="16" t="inlineStr">
        <is>
          <t>Exfiltration</t>
        </is>
      </c>
      <c r="B734" s="16" t="inlineStr">
        <is>
          <t>T1011</t>
        </is>
      </c>
      <c r="C734" s="16" t="inlineStr">
        <is>
          <t>Exfiltration Over Other Network Medium</t>
        </is>
      </c>
      <c r="D734" s="16" t="n"/>
      <c r="E734" s="16" t="inlineStr">
        <is>
          <t>Radio Frequency</t>
        </is>
      </c>
      <c r="F734" s="16" t="inlineStr">
        <is>
          <t>No</t>
        </is>
      </c>
      <c r="G734" s="16" t="inlineStr">
        <is>
          <t>The DID authentication system itself does not explicitly use multiple network media. However, a user device (DID Wallet) may send results over an unauthorized path after offline authentication in cases such as:
when active network interfaces such as USB, Bluetooth, or WiFi exist in an environment where container-based authentication modules are deployed;
when a VC issuer or verifier is deployed on a local edge device that supports multi-channel connectivity.
However, because this is confined to special environments limited to mobile wallets and some IoT devices, general structural alignment is judged to be low.
[Structural relevance]
DID Wallet (Client): High (mobile apps can access multiple network channels)
DID Agent Server: Low (servers generally use only restricted networks)
Edge VC issuer (including IoT): Medium (devices may carry Bluetooth or LTE)</t>
        </is>
      </c>
      <c r="H734" s="16" t="inlineStr">
        <is>
          <t>-</t>
        </is>
      </c>
      <c r="I734" s="16" t="inlineStr">
        <is>
          <t>DID system</t>
        </is>
      </c>
      <c r="J734" s="16" t="inlineStr">
        <is>
          <t>-</t>
        </is>
      </c>
      <c r="K734" s="16" t="inlineStr">
        <is>
          <t>"Radio Frequency" is not a v17 sub-technique of T1011; kept as analyzed</t>
        </is>
      </c>
      <c r="L734" s="16" t="inlineStr">
        <is>
          <t>https://attack.mitre.org/techniques/T1011</t>
        </is>
      </c>
    </row>
    <row r="735" ht="147" customHeight="1" s="7">
      <c r="A735" s="16" t="inlineStr">
        <is>
          <t>Exfiltration</t>
        </is>
      </c>
      <c r="B735" s="16" t="inlineStr">
        <is>
          <t>T1052</t>
        </is>
      </c>
      <c r="C735" s="16" t="inlineStr">
        <is>
          <t>Exfiltration Over Physical Medium</t>
        </is>
      </c>
      <c r="D735" s="16" t="n"/>
      <c r="E735" s="16" t="inlineStr">
        <is>
          <t>USB/Removable Media</t>
        </is>
      </c>
      <c r="F735" s="16" t="inlineStr">
        <is>
          <t>Partial</t>
        </is>
      </c>
      <c r="G735" s="16" t="inlineStr">
        <is>
          <t>Verification through remote APIs is typical in DID systems, but physical-medium-based leakage can occur in cases such as:
a VC is issued offline and stored locally, and an attacker copies it directly via USB or similar media;
local VC collection from VC issuers/verifiers deployed in air-gapped environments;
manual theft of internal processing files such as authentication logs and user metadata.
[Structural relevance]
DID Wallet (Client): High (mobile/PC apps can store VC files locally)
Edge VC issuer / verifier: High (VCs/logs can leak through USB ports)
CredentialStatus API (Cloud): Low (based on remote access; physical access is difficult)</t>
        </is>
      </c>
      <c r="H735" s="16" t="inlineStr">
        <is>
          <t>1. Some DID components keep VC files locally (e.g., in JWT or JSON-LD format).
2. Intermediate results or error logs of the VC verification flow may be written to disk.
3. Edge devices in air-gapped or semi-connected states are vulnerable to physical copying.</t>
        </is>
      </c>
      <c r="I735" s="16" t="inlineStr">
        <is>
          <t>DID system</t>
        </is>
      </c>
      <c r="J735" s="16" t="inlineStr">
        <is>
          <t>1. Apply on-device encryption and authentication-based locking when storing VCs.
2. Process authentication logs only in temporary memory and delete them immediately afterward.
3. Apply USB/physical port blocking policies to edge devices/offline issuers.
4. If a device has a VC download function, event logging and integrity hash generation are required.</t>
        </is>
      </c>
      <c r="K735" s="16" t="inlineStr">
        <is>
          <t>"USB/Removable Media" is not a v17 sub-technique of T1052; kept as analyzed</t>
        </is>
      </c>
      <c r="L735" s="16" t="inlineStr">
        <is>
          <t>https://attack.mitre.org/techniques/T1052</t>
        </is>
      </c>
    </row>
    <row r="736" ht="158.2" customHeight="1" s="7">
      <c r="A736" s="16" t="inlineStr">
        <is>
          <t>Exfiltration</t>
        </is>
      </c>
      <c r="B736" s="16" t="inlineStr">
        <is>
          <t>T1567</t>
        </is>
      </c>
      <c r="C736" s="16" t="inlineStr">
        <is>
          <t>Exfiltration Over Web Service</t>
        </is>
      </c>
      <c r="D736" s="16" t="n"/>
      <c r="E736" s="16" t="inlineStr">
        <is>
          <t>Web Service – Dropbox</t>
        </is>
      </c>
      <c r="F736" s="16" t="inlineStr">
        <is>
          <t>Partial</t>
        </is>
      </c>
      <c r="G736" s="16" t="inlineStr">
        <is>
          <t>DID systems are basically built on Web3 or client-server HTTPS communication, and the technique can be applied in forms such as automatic upload of VC files or authentication results (JSON Web Tokens, etc.) to external web services; external data transfer through webhooks in SaaS environments that relay serverless function or API results; and an attacker copying VCs through malicious scripts or vulnerabilities and sending them externally with rclone, curl, aws s3 cp, and similar tools.
[Structural relevance]
DID Wallet (Client): High (VC files can be backed up from the browser/app to the cloud)
DID Agent Server: Medium (VCs can be transmitted through webhooks or automation tools)
CredentialStatus API: Low (VC status lookups are generally JSON-response-based with no data storage)</t>
        </is>
      </c>
      <c r="H736" s="16" t="inlineStr">
        <is>
          <t>1. VC files or tokens (JSON Web Tokens) can be stored locally/in the browser on the user side.
2. Many DID-based apps provide backup/migration functions through SaaS or cloud features.
3. Because traffic is encrypted with HTTPS, it is difficult to detect with traditional IDS or DLP solutions.</t>
        </is>
      </c>
      <c r="I736" s="16" t="inlineStr">
        <is>
          <t>DID system</t>
        </is>
      </c>
      <c r="J736" s="16" t="inlineStr">
        <is>
          <t>1. VC upload APIs need to allow only internal domains and restrict external domains.
2. File download/upload events need to be logged in DID Wallets or browser extensions.
3. Enable audit events for user access logs and API calls in SaaS integrations.
4. Apply hash verification or policy-based pre-screening to upload requests that pose a risk of VC leakage.</t>
        </is>
      </c>
      <c r="K736" s="16" t="inlineStr">
        <is>
          <t>"Web Service – Dropbox" is not a v17 sub-technique of T1567; kept as analyzed</t>
        </is>
      </c>
      <c r="L736" s="16" t="inlineStr">
        <is>
          <t>https://attack.mitre.org/techniques/T1567</t>
        </is>
      </c>
    </row>
    <row r="737" ht="158.2" customHeight="1" s="7">
      <c r="A737" s="16" t="inlineStr">
        <is>
          <t>Exfiltration</t>
        </is>
      </c>
      <c r="B737" s="16" t="inlineStr">
        <is>
          <t>T1567</t>
        </is>
      </c>
      <c r="C737" s="16" t="inlineStr">
        <is>
          <t>Exfiltration Over Web Service</t>
        </is>
      </c>
      <c r="D737" s="16" t="n"/>
      <c r="E737" s="16" t="inlineStr">
        <is>
          <t>Web Service – Google Drive</t>
        </is>
      </c>
      <c r="F737" s="16" t="inlineStr">
        <is>
          <t>Partial</t>
        </is>
      </c>
      <c r="G737" s="16" t="inlineStr">
        <is>
          <t>DID systems are basically built on Web3 or client-server HTTPS communication, and the technique can be applied in forms such as automatic upload of VC files or authentication results (JSON Web Tokens, etc.) to external web services; external data transfer through webhooks in SaaS environments that relay serverless function or API results; and an attacker copying VCs through malicious scripts or vulnerabilities and sending them externally with rclone, curl, aws s3 cp, and similar tools.
[Structural relevance]
DID Wallet (Client): High (VC files can be backed up from the browser/app to the cloud)
DID Agent Server: Medium (VCs can be transmitted through webhooks or automation tools)
CredentialStatus API: Low (VC status lookups are generally JSON-response-based with no data storage)</t>
        </is>
      </c>
      <c r="H737" s="16" t="inlineStr">
        <is>
          <t>1. VC files or tokens (JSON Web Tokens) can be stored locally/in the browser on the user side.
2. Many DID-based apps provide backup/migration functions through SaaS or cloud features.
3. Because traffic is encrypted with HTTPS, it is difficult to detect with traditional IDS or DLP solutions.</t>
        </is>
      </c>
      <c r="I737" s="16" t="inlineStr">
        <is>
          <t>External uploads from user clients or VC issuers.</t>
        </is>
      </c>
      <c r="J737" s="16" t="inlineStr">
        <is>
          <t>1. VC upload APIs need to allow only internal domains and restrict external domains.
2. File download/upload events need to be logged in DID Wallets or browser extensions.
3. Enable audit events for user access logs and API calls in SaaS integrations.
4. Apply hash verification or policy-based pre-screening to upload requests that pose a risk of VC leakage.</t>
        </is>
      </c>
      <c r="K737" s="16" t="inlineStr">
        <is>
          <t>"Web Service – Google Drive" is not a v17 sub-technique of T1567; kept as analyzed</t>
        </is>
      </c>
      <c r="L737" s="16" t="inlineStr">
        <is>
          <t>https://attack.mitre.org/techniques/T1567</t>
        </is>
      </c>
    </row>
    <row r="738" ht="158.2" customHeight="1" s="7">
      <c r="A738" s="16" t="inlineStr">
        <is>
          <t>Exfiltration</t>
        </is>
      </c>
      <c r="B738" s="16" t="inlineStr">
        <is>
          <t>T1567</t>
        </is>
      </c>
      <c r="C738" s="16" t="inlineStr">
        <is>
          <t>Exfiltration Over Web Service</t>
        </is>
      </c>
      <c r="D738" s="16" t="n"/>
      <c r="E738" s="16" t="inlineStr">
        <is>
          <t>Web Service – OneDrive</t>
        </is>
      </c>
      <c r="F738" s="16" t="inlineStr">
        <is>
          <t>Partial</t>
        </is>
      </c>
      <c r="G738" s="16" t="inlineStr">
        <is>
          <t>DID systems are basically built on Web3 or client-server HTTPS communication, and the technique can be applied in forms such as automatic upload of VC files or authentication results (JSON Web Tokens, etc.) to external web services; external data transfer through webhooks in SaaS environments that relay serverless function or API results; and an attacker copying VCs through malicious scripts or vulnerabilities and sending them externally with rclone, curl, aws s3 cp, and similar tools.
[Structural relevance]
DID Wallet (Client): High (VC files can be backed up from the browser/app to the cloud)
DID Agent Server: Medium (VCs can be transmitted through webhooks or automation tools)
CredentialStatus API: Low (VC status lookups are generally JSON-response-based with no data storage)</t>
        </is>
      </c>
      <c r="H738" s="16" t="inlineStr">
        <is>
          <t>1. VC files or tokens (JSON Web Tokens) can be stored locally/in the browser on the user side.
2. Many DID-based apps provide backup/migration functions through SaaS or cloud features.
3. Because traffic is encrypted with HTTPS, it is difficult to detect with traditional IDS or DLP solutions.</t>
        </is>
      </c>
      <c r="I738" s="16" t="inlineStr">
        <is>
          <t>The attacker manipulates the DID Wallet or manipulates it through a browser extension.</t>
        </is>
      </c>
      <c r="J738" s="16" t="inlineStr">
        <is>
          <t>1. VC upload APIs need to allow only internal domains and restrict external domains.
2. File download/upload events need to be logged in DID Wallets or browser extensions.
3. Enable audit events for user access logs and API calls in SaaS integrations.
4. Apply hash verification or policy-based pre-screening to upload requests that pose a risk of VC leakage.</t>
        </is>
      </c>
      <c r="K738" s="16" t="inlineStr">
        <is>
          <t>"Web Service – OneDrive" is not a v17 sub-technique of T1567; kept as analyzed</t>
        </is>
      </c>
      <c r="L738" s="16" t="inlineStr">
        <is>
          <t>https://attack.mitre.org/techniques/T1567</t>
        </is>
      </c>
    </row>
    <row r="739" ht="158.2" customHeight="1" s="7">
      <c r="A739" s="16" t="inlineStr">
        <is>
          <t>Exfiltration</t>
        </is>
      </c>
      <c r="B739" s="16" t="inlineStr">
        <is>
          <t>T1567</t>
        </is>
      </c>
      <c r="C739" s="16" t="inlineStr">
        <is>
          <t>Exfiltration Over Web Service</t>
        </is>
      </c>
      <c r="D739" s="16" t="n"/>
      <c r="E739" s="16" t="inlineStr">
        <is>
          <t>Web Service – Mega.nz</t>
        </is>
      </c>
      <c r="F739" s="16" t="inlineStr">
        <is>
          <t>Partial</t>
        </is>
      </c>
      <c r="G739" s="16" t="inlineStr">
        <is>
          <t>DID systems are basically built on Web3 or client-server HTTPS communication, and the technique can be applied in forms such as automatic upload of VC files or authentication results (JSON Web Tokens, etc.) to external web services; external data transfer through webhooks in SaaS environments that relay serverless function or API results; and an attacker copying VCs through malicious scripts or vulnerabilities and sending them externally with rclone, curl, aws s3 cp, and similar tools.
[Structural relevance]
DID Wallet (Client): High (VC files can be backed up from the browser/app to the cloud)
DID Agent Server: Medium (VCs can be transmitted through webhooks or automation tools)
CredentialStatus API: Low (VC status lookups are generally JSON-response-based with no data storage)</t>
        </is>
      </c>
      <c r="H739" s="16" t="inlineStr">
        <is>
          <t>1. VC files or tokens (JSON Web Tokens) can be stored locally/in the browser on the user side.
2. Many DID-based apps provide backup/migration functions through SaaS or cloud features.
3. Because traffic is encrypted with HTTPS, it is difficult to detect with traditional IDS or DLP solutions.</t>
        </is>
      </c>
      <c r="I739" s="16" t="inlineStr">
        <is>
          <t>Detection is difficult because VC uploads are indistinguishable from normal activity.</t>
        </is>
      </c>
      <c r="J739" s="16" t="inlineStr">
        <is>
          <t>1. VC upload APIs need to allow only internal domains and restrict external domains.
2. File download/upload events need to be logged in DID Wallets or browser extensions.
3. Enable audit events for user access logs and API calls in SaaS integrations.
4. Apply hash verification or policy-based pre-screening to upload requests that pose a risk of VC leakage.</t>
        </is>
      </c>
      <c r="K739" s="16" t="inlineStr">
        <is>
          <t>"Web Service – Mega.nz" is not a v17 sub-technique of T1567; kept as analyzed</t>
        </is>
      </c>
      <c r="L739" s="16" t="inlineStr">
        <is>
          <t>https://attack.mitre.org/techniques/T1567</t>
        </is>
      </c>
    </row>
    <row r="740" ht="169.4" customHeight="1" s="7">
      <c r="A740" s="16" t="inlineStr">
        <is>
          <t>Exfiltration</t>
        </is>
      </c>
      <c r="B740" s="16" t="inlineStr">
        <is>
          <t>T1029</t>
        </is>
      </c>
      <c r="C740" s="16" t="inlineStr">
        <is>
          <t>Scheduled Transfer</t>
        </is>
      </c>
      <c r="D740" s="16" t="n"/>
      <c r="E740" s="16" t="n"/>
      <c r="F740" s="16" t="inlineStr">
        <is>
          <t>Partial</t>
        </is>
      </c>
      <c r="G740" s="16" t="inlineStr">
        <is>
          <t>DID authentication systems generally operate around user-interaction-based authentication requests, so continuous periodic traffic is inherently low. However, the technique can apply in limited cases such as:
when a browser-based DID Wallet includes functions that automatically back up VCs or query status at fixed intervals;
when an attacker injects a malicious script that sends VC files or authentication tokens externally at fixed intervals;
when a backend DID Agent is configured to send verification data externally as logs at fixed times.
[Structural relevance]
DID Wallet (Client): Medium (browser-based JS timers can be used)
DID Agent Server: High (in the form of server-side scheduled tasks or cron jobs)
CredentialStatus API: Low (based on asynchronous calls; no schedule-based logic)</t>
        </is>
      </c>
      <c r="H740" s="16" t="inlineStr">
        <is>
          <t>1. VC or authentication log files are periodically created on clients or servers.
2. VC verification results are sent to other systems or stored as logs at fixed intervals.
3. Periodic events are difficult to distinguish from normal usage flows.</t>
        </is>
      </c>
      <c r="I740" s="16" t="inlineStr">
        <is>
          <t>DID system</t>
        </is>
      </c>
      <c r="J740" s="16" t="inlineStr">
        <is>
          <t>1. A configuration that blocks periodic transmission/upload is needed for the asynchronous processing logic of the DID Agent.
2. Introduce periodicity detection logic for client-side VC upload or transmission requests (e.g., repeated requests of the same size/format).
3. Apply detection-indicator-based log collection on servers and clients (e.g., request intervals and timing).
4. Regular monitoring and integrity verification of backend cron and scheduler configurations are needed.</t>
        </is>
      </c>
      <c r="K740" s="16" t="n"/>
      <c r="L740" s="16" t="inlineStr">
        <is>
          <t>https://attack.mitre.org/techniques/T1029</t>
        </is>
      </c>
    </row>
    <row r="741" ht="191.75" customHeight="1" s="7">
      <c r="A741" s="16" t="inlineStr">
        <is>
          <t>Exfiltration</t>
        </is>
      </c>
      <c r="B741" s="16" t="inlineStr">
        <is>
          <t>T1537</t>
        </is>
      </c>
      <c r="C741" s="16" t="inlineStr">
        <is>
          <t>Transfer Data to Cloud Account</t>
        </is>
      </c>
      <c r="D741" s="16" t="n"/>
      <c r="E741" s="16" t="n"/>
      <c r="F741" s="16" t="inlineStr">
        <is>
          <t>Partial</t>
        </is>
      </c>
      <c r="G741" s="16" t="inlineStr">
        <is>
          <t>DID authentication systems usually use local storage or a backend DB, but structurally similar data exfiltration can occur in cases such as:
when a DID Wallet or VC issuer/verifier manages backups, logs, and VC status data through cloud storage;
when an attacker uses stolen API keys, service accounts, and similar credentials to share data with an external account as if it were a normal flow;
when an attacker takes over an internal operator account or CI/CD account and continuously synchronizes authentication data to a separate cloud account.
[Structural relevance]
DID Wallet (Client): Medium (can be exposed when cloud synchronization is used)
DID Agent Server: High (server logs, VC issuance information, and status data may be stored in the cloud)
CredentialStatus API: Medium (a target when the hash DB or status backup logs reside in the cloud)</t>
        </is>
      </c>
      <c r="H741" s="16" t="inlineStr">
        <is>
          <t>1. Authentication logs, VC issuance information, and similar data can usually be stored and shared as JSON files.
2. When managed on cloud storage, sharing between internal accounts is not detected as external leakage.
3. If IAM is misconfigured, access and synchronization are possible through abuse of service accounts.</t>
        </is>
      </c>
      <c r="I741" s="16" t="inlineStr">
        <is>
          <t>DID system</t>
        </is>
      </c>
      <c r="J741" s="16" t="inlineStr">
        <is>
          <t>1. Predefine cloud sharing policies to block sharing with external accounts.
2. Minimize the API access scope of service accounts used by server operators.
3. Apply policy-based access control (PBAC, ABAC, etc.) to storage where VC issuance and verification logs are uploaded.
4. Build detection rules for external account access based on audit logs (e.g., detecting abnormal sharing in Google Drive, AWS S3, Azure Blob, etc.).</t>
        </is>
      </c>
      <c r="K741" s="16" t="n"/>
      <c r="L741" s="16" t="inlineStr">
        <is>
          <t>https://attack.mitre.org/techniques/T1537</t>
        </is>
      </c>
    </row>
  </sheetData>
  <autoFilter ref="A1:L7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4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6" min="1" max="1"/>
    <col width="11" customWidth="1" style="6" min="2" max="2"/>
    <col width="36" customWidth="1" style="6" min="3" max="3"/>
    <col width="9" customWidth="1" style="6" min="4" max="4"/>
    <col width="11" customWidth="1" style="6" min="5" max="5"/>
    <col width="12" customWidth="1" style="6" min="6" max="6"/>
    <col width="11" customWidth="1" style="6" min="7" max="7"/>
    <col width="15" customWidth="1" style="6" min="8" max="8"/>
  </cols>
  <sheetData>
    <row r="1" ht="23.85" customHeight="1" s="7">
      <c r="A1" s="13" t="inlineStr">
        <is>
          <t>Tactic</t>
        </is>
      </c>
      <c r="B1" s="13" t="inlineStr">
        <is>
          <t>Technique ID</t>
        </is>
      </c>
      <c r="C1" s="13" t="inlineStr">
        <is>
          <t>Technique</t>
        </is>
      </c>
      <c r="D1" s="13" t="inlineStr">
        <is>
          <t>Entries</t>
        </is>
      </c>
      <c r="E1" s="13" t="inlineStr">
        <is>
          <t>Full entries</t>
        </is>
      </c>
      <c r="F1" s="13" t="inlineStr">
        <is>
          <t>Partial entries</t>
        </is>
      </c>
      <c r="G1" s="13" t="inlineStr">
        <is>
          <t>No entries</t>
        </is>
      </c>
      <c r="H1" s="13" t="inlineStr">
        <is>
          <t>Technique grade</t>
        </is>
      </c>
    </row>
    <row r="2" ht="15" customHeight="1" s="7">
      <c r="A2" s="14" t="inlineStr">
        <is>
          <t>Reconnaissance</t>
        </is>
      </c>
      <c r="B2" s="14" t="inlineStr">
        <is>
          <t>T1589</t>
        </is>
      </c>
      <c r="C2" s="14" t="inlineStr">
        <is>
          <t>Gather Victim Identity Information</t>
        </is>
      </c>
      <c r="D2" s="14">
        <f>COUNTIFS(Entries!$A$2:$A$741,A2,Entries!$B$2:$B$741,B2)</f>
        <v/>
      </c>
      <c r="E2" s="14">
        <f>COUNTIFS(Entries!$A$2:$A$741,A2,Entries!$B$2:$B$741,B2,Entries!$F$2:$F$741,"Full")</f>
        <v/>
      </c>
      <c r="F2" s="14">
        <f>COUNTIFS(Entries!$A$2:$A$741,A2,Entries!$B$2:$B$741,B2,Entries!$F$2:$F$741,"Partial")</f>
        <v/>
      </c>
      <c r="G2" s="14">
        <f>COUNTIFS(Entries!$A$2:$A$741,A2,Entries!$B$2:$B$741,B2,Entries!$F$2:$F$741,"No")</f>
        <v/>
      </c>
      <c r="H2" s="14">
        <f>IF(D2=0,"Not graded",IF(E2&gt;0,"Full",IF(F2&gt;0,"Partial","No")))</f>
        <v/>
      </c>
    </row>
    <row r="3" ht="15" customHeight="1" s="7">
      <c r="A3" s="14" t="inlineStr">
        <is>
          <t>Reconnaissance</t>
        </is>
      </c>
      <c r="B3" s="14" t="inlineStr">
        <is>
          <t>T1590</t>
        </is>
      </c>
      <c r="C3" s="14" t="inlineStr">
        <is>
          <t>Gather Victim Network Information</t>
        </is>
      </c>
      <c r="D3" s="14">
        <f>COUNTIFS(Entries!$A$2:$A$741,A3,Entries!$B$2:$B$741,B3)</f>
        <v/>
      </c>
      <c r="E3" s="14">
        <f>COUNTIFS(Entries!$A$2:$A$741,A3,Entries!$B$2:$B$741,B3,Entries!$F$2:$F$741,"Full")</f>
        <v/>
      </c>
      <c r="F3" s="14">
        <f>COUNTIFS(Entries!$A$2:$A$741,A3,Entries!$B$2:$B$741,B3,Entries!$F$2:$F$741,"Partial")</f>
        <v/>
      </c>
      <c r="G3" s="14">
        <f>COUNTIFS(Entries!$A$2:$A$741,A3,Entries!$B$2:$B$741,B3,Entries!$F$2:$F$741,"No")</f>
        <v/>
      </c>
      <c r="H3" s="14">
        <f>IF(D3=0,"Not graded",IF(E3&gt;0,"Full",IF(F3&gt;0,"Partial","No")))</f>
        <v/>
      </c>
    </row>
    <row r="4" ht="15" customHeight="1" s="7">
      <c r="A4" s="14" t="inlineStr">
        <is>
          <t>Reconnaissance</t>
        </is>
      </c>
      <c r="B4" s="14" t="inlineStr">
        <is>
          <t>T1591</t>
        </is>
      </c>
      <c r="C4" s="14" t="inlineStr">
        <is>
          <t>Gather Victim Org Information</t>
        </is>
      </c>
      <c r="D4" s="14">
        <f>COUNTIFS(Entries!$A$2:$A$741,A4,Entries!$B$2:$B$741,B4)</f>
        <v/>
      </c>
      <c r="E4" s="14">
        <f>COUNTIFS(Entries!$A$2:$A$741,A4,Entries!$B$2:$B$741,B4,Entries!$F$2:$F$741,"Full")</f>
        <v/>
      </c>
      <c r="F4" s="14">
        <f>COUNTIFS(Entries!$A$2:$A$741,A4,Entries!$B$2:$B$741,B4,Entries!$F$2:$F$741,"Partial")</f>
        <v/>
      </c>
      <c r="G4" s="14">
        <f>COUNTIFS(Entries!$A$2:$A$741,A4,Entries!$B$2:$B$741,B4,Entries!$F$2:$F$741,"No")</f>
        <v/>
      </c>
      <c r="H4" s="14">
        <f>IF(D4=0,"Not graded",IF(E4&gt;0,"Full",IF(F4&gt;0,"Partial","No")))</f>
        <v/>
      </c>
    </row>
    <row r="5" ht="15" customHeight="1" s="7">
      <c r="A5" s="14" t="inlineStr">
        <is>
          <t>Reconnaissance</t>
        </is>
      </c>
      <c r="B5" s="14" t="inlineStr">
        <is>
          <t>T1592</t>
        </is>
      </c>
      <c r="C5" s="14" t="inlineStr">
        <is>
          <t>Gather Victim Host Information</t>
        </is>
      </c>
      <c r="D5" s="14">
        <f>COUNTIFS(Entries!$A$2:$A$741,A5,Entries!$B$2:$B$741,B5)</f>
        <v/>
      </c>
      <c r="E5" s="14">
        <f>COUNTIFS(Entries!$A$2:$A$741,A5,Entries!$B$2:$B$741,B5,Entries!$F$2:$F$741,"Full")</f>
        <v/>
      </c>
      <c r="F5" s="14">
        <f>COUNTIFS(Entries!$A$2:$A$741,A5,Entries!$B$2:$B$741,B5,Entries!$F$2:$F$741,"Partial")</f>
        <v/>
      </c>
      <c r="G5" s="14">
        <f>COUNTIFS(Entries!$A$2:$A$741,A5,Entries!$B$2:$B$741,B5,Entries!$F$2:$F$741,"No")</f>
        <v/>
      </c>
      <c r="H5" s="14">
        <f>IF(D5=0,"Not graded",IF(E5&gt;0,"Full",IF(F5&gt;0,"Partial","No")))</f>
        <v/>
      </c>
    </row>
    <row r="6" ht="15" customHeight="1" s="7">
      <c r="A6" s="14" t="inlineStr">
        <is>
          <t>Reconnaissance</t>
        </is>
      </c>
      <c r="B6" s="14" t="inlineStr">
        <is>
          <t>T1593</t>
        </is>
      </c>
      <c r="C6" s="14" t="inlineStr">
        <is>
          <t>Search Open Websites/Domains</t>
        </is>
      </c>
      <c r="D6" s="14">
        <f>COUNTIFS(Entries!$A$2:$A$741,A6,Entries!$B$2:$B$741,B6)</f>
        <v/>
      </c>
      <c r="E6" s="14">
        <f>COUNTIFS(Entries!$A$2:$A$741,A6,Entries!$B$2:$B$741,B6,Entries!$F$2:$F$741,"Full")</f>
        <v/>
      </c>
      <c r="F6" s="14">
        <f>COUNTIFS(Entries!$A$2:$A$741,A6,Entries!$B$2:$B$741,B6,Entries!$F$2:$F$741,"Partial")</f>
        <v/>
      </c>
      <c r="G6" s="14">
        <f>COUNTIFS(Entries!$A$2:$A$741,A6,Entries!$B$2:$B$741,B6,Entries!$F$2:$F$741,"No")</f>
        <v/>
      </c>
      <c r="H6" s="14">
        <f>IF(D6=0,"Not graded",IF(E6&gt;0,"Full",IF(F6&gt;0,"Partial","No")))</f>
        <v/>
      </c>
    </row>
    <row r="7" ht="15" customHeight="1" s="7">
      <c r="A7" s="14" t="inlineStr">
        <is>
          <t>Reconnaissance</t>
        </is>
      </c>
      <c r="B7" s="14" t="inlineStr">
        <is>
          <t>T1594</t>
        </is>
      </c>
      <c r="C7" s="14" t="inlineStr">
        <is>
          <t>Search Victim-Owned Websites</t>
        </is>
      </c>
      <c r="D7" s="14">
        <f>COUNTIFS(Entries!$A$2:$A$741,A7,Entries!$B$2:$B$741,B7)</f>
        <v/>
      </c>
      <c r="E7" s="14">
        <f>COUNTIFS(Entries!$A$2:$A$741,A7,Entries!$B$2:$B$741,B7,Entries!$F$2:$F$741,"Full")</f>
        <v/>
      </c>
      <c r="F7" s="14">
        <f>COUNTIFS(Entries!$A$2:$A$741,A7,Entries!$B$2:$B$741,B7,Entries!$F$2:$F$741,"Partial")</f>
        <v/>
      </c>
      <c r="G7" s="14">
        <f>COUNTIFS(Entries!$A$2:$A$741,A7,Entries!$B$2:$B$741,B7,Entries!$F$2:$F$741,"No")</f>
        <v/>
      </c>
      <c r="H7" s="14">
        <f>IF(D7=0,"Not graded",IF(E7&gt;0,"Full",IF(F7&gt;0,"Partial","No")))</f>
        <v/>
      </c>
    </row>
    <row r="8" ht="15" customHeight="1" s="7">
      <c r="A8" s="14" t="inlineStr">
        <is>
          <t>Reconnaissance</t>
        </is>
      </c>
      <c r="B8" s="14" t="inlineStr">
        <is>
          <t>T1595</t>
        </is>
      </c>
      <c r="C8" s="14" t="inlineStr">
        <is>
          <t>Active Scanning</t>
        </is>
      </c>
      <c r="D8" s="14">
        <f>COUNTIFS(Entries!$A$2:$A$741,A8,Entries!$B$2:$B$741,B8)</f>
        <v/>
      </c>
      <c r="E8" s="14">
        <f>COUNTIFS(Entries!$A$2:$A$741,A8,Entries!$B$2:$B$741,B8,Entries!$F$2:$F$741,"Full")</f>
        <v/>
      </c>
      <c r="F8" s="14">
        <f>COUNTIFS(Entries!$A$2:$A$741,A8,Entries!$B$2:$B$741,B8,Entries!$F$2:$F$741,"Partial")</f>
        <v/>
      </c>
      <c r="G8" s="14">
        <f>COUNTIFS(Entries!$A$2:$A$741,A8,Entries!$B$2:$B$741,B8,Entries!$F$2:$F$741,"No")</f>
        <v/>
      </c>
      <c r="H8" s="14">
        <f>IF(D8=0,"Not graded",IF(E8&gt;0,"Full",IF(F8&gt;0,"Partial","No")))</f>
        <v/>
      </c>
    </row>
    <row r="9" ht="15" customHeight="1" s="7">
      <c r="A9" s="14" t="inlineStr">
        <is>
          <t>Reconnaissance</t>
        </is>
      </c>
      <c r="B9" s="14" t="inlineStr">
        <is>
          <t>T1596</t>
        </is>
      </c>
      <c r="C9" s="14" t="inlineStr">
        <is>
          <t>Search Open Technical Databases</t>
        </is>
      </c>
      <c r="D9" s="14">
        <f>COUNTIFS(Entries!$A$2:$A$741,A9,Entries!$B$2:$B$741,B9)</f>
        <v/>
      </c>
      <c r="E9" s="14">
        <f>COUNTIFS(Entries!$A$2:$A$741,A9,Entries!$B$2:$B$741,B9,Entries!$F$2:$F$741,"Full")</f>
        <v/>
      </c>
      <c r="F9" s="14">
        <f>COUNTIFS(Entries!$A$2:$A$741,A9,Entries!$B$2:$B$741,B9,Entries!$F$2:$F$741,"Partial")</f>
        <v/>
      </c>
      <c r="G9" s="14">
        <f>COUNTIFS(Entries!$A$2:$A$741,A9,Entries!$B$2:$B$741,B9,Entries!$F$2:$F$741,"No")</f>
        <v/>
      </c>
      <c r="H9" s="14">
        <f>IF(D9=0,"Not graded",IF(E9&gt;0,"Full",IF(F9&gt;0,"Partial","No")))</f>
        <v/>
      </c>
    </row>
    <row r="10" ht="15" customHeight="1" s="7">
      <c r="A10" s="14" t="inlineStr">
        <is>
          <t>Reconnaissance</t>
        </is>
      </c>
      <c r="B10" s="14" t="inlineStr">
        <is>
          <t>T1597</t>
        </is>
      </c>
      <c r="C10" s="14" t="inlineStr">
        <is>
          <t>Search Closed Sources</t>
        </is>
      </c>
      <c r="D10" s="14">
        <f>COUNTIFS(Entries!$A$2:$A$741,A10,Entries!$B$2:$B$741,B10)</f>
        <v/>
      </c>
      <c r="E10" s="14">
        <f>COUNTIFS(Entries!$A$2:$A$741,A10,Entries!$B$2:$B$741,B10,Entries!$F$2:$F$741,"Full")</f>
        <v/>
      </c>
      <c r="F10" s="14">
        <f>COUNTIFS(Entries!$A$2:$A$741,A10,Entries!$B$2:$B$741,B10,Entries!$F$2:$F$741,"Partial")</f>
        <v/>
      </c>
      <c r="G10" s="14">
        <f>COUNTIFS(Entries!$A$2:$A$741,A10,Entries!$B$2:$B$741,B10,Entries!$F$2:$F$741,"No")</f>
        <v/>
      </c>
      <c r="H10" s="14">
        <f>IF(D10=0,"Not graded",IF(E10&gt;0,"Full",IF(F10&gt;0,"Partial","No")))</f>
        <v/>
      </c>
    </row>
    <row r="11" ht="15" customHeight="1" s="7">
      <c r="A11" s="14" t="inlineStr">
        <is>
          <t>Reconnaissance</t>
        </is>
      </c>
      <c r="B11" s="14" t="inlineStr">
        <is>
          <t>T1598</t>
        </is>
      </c>
      <c r="C11" s="14" t="inlineStr">
        <is>
          <t>Phishing for Information</t>
        </is>
      </c>
      <c r="D11" s="14">
        <f>COUNTIFS(Entries!$A$2:$A$741,A11,Entries!$B$2:$B$741,B11)</f>
        <v/>
      </c>
      <c r="E11" s="14">
        <f>COUNTIFS(Entries!$A$2:$A$741,A11,Entries!$B$2:$B$741,B11,Entries!$F$2:$F$741,"Full")</f>
        <v/>
      </c>
      <c r="F11" s="14">
        <f>COUNTIFS(Entries!$A$2:$A$741,A11,Entries!$B$2:$B$741,B11,Entries!$F$2:$F$741,"Partial")</f>
        <v/>
      </c>
      <c r="G11" s="14">
        <f>COUNTIFS(Entries!$A$2:$A$741,A11,Entries!$B$2:$B$741,B11,Entries!$F$2:$F$741,"No")</f>
        <v/>
      </c>
      <c r="H11" s="14">
        <f>IF(D11=0,"Not graded",IF(E11&gt;0,"Full",IF(F11&gt;0,"Partial","No")))</f>
        <v/>
      </c>
    </row>
    <row r="12" ht="15" customHeight="1" s="7">
      <c r="A12" s="14" t="inlineStr">
        <is>
          <t>Resource Development</t>
        </is>
      </c>
      <c r="B12" s="14" t="inlineStr">
        <is>
          <t>T1583</t>
        </is>
      </c>
      <c r="C12" s="14" t="inlineStr">
        <is>
          <t>Acquire Infrastructure</t>
        </is>
      </c>
      <c r="D12" s="14">
        <f>COUNTIFS(Entries!$A$2:$A$741,A12,Entries!$B$2:$B$741,B12)</f>
        <v/>
      </c>
      <c r="E12" s="14">
        <f>COUNTIFS(Entries!$A$2:$A$741,A12,Entries!$B$2:$B$741,B12,Entries!$F$2:$F$741,"Full")</f>
        <v/>
      </c>
      <c r="F12" s="14">
        <f>COUNTIFS(Entries!$A$2:$A$741,A12,Entries!$B$2:$B$741,B12,Entries!$F$2:$F$741,"Partial")</f>
        <v/>
      </c>
      <c r="G12" s="14">
        <f>COUNTIFS(Entries!$A$2:$A$741,A12,Entries!$B$2:$B$741,B12,Entries!$F$2:$F$741,"No")</f>
        <v/>
      </c>
      <c r="H12" s="14">
        <f>IF(D12=0,"Not graded",IF(E12&gt;0,"Full",IF(F12&gt;0,"Partial","No")))</f>
        <v/>
      </c>
    </row>
    <row r="13" ht="15" customHeight="1" s="7">
      <c r="A13" s="14" t="inlineStr">
        <is>
          <t>Resource Development</t>
        </is>
      </c>
      <c r="B13" s="14" t="inlineStr">
        <is>
          <t>T1584</t>
        </is>
      </c>
      <c r="C13" s="14" t="inlineStr">
        <is>
          <t>Compromise Infrastructure</t>
        </is>
      </c>
      <c r="D13" s="14">
        <f>COUNTIFS(Entries!$A$2:$A$741,A13,Entries!$B$2:$B$741,B13)</f>
        <v/>
      </c>
      <c r="E13" s="14">
        <f>COUNTIFS(Entries!$A$2:$A$741,A13,Entries!$B$2:$B$741,B13,Entries!$F$2:$F$741,"Full")</f>
        <v/>
      </c>
      <c r="F13" s="14">
        <f>COUNTIFS(Entries!$A$2:$A$741,A13,Entries!$B$2:$B$741,B13,Entries!$F$2:$F$741,"Partial")</f>
        <v/>
      </c>
      <c r="G13" s="14">
        <f>COUNTIFS(Entries!$A$2:$A$741,A13,Entries!$B$2:$B$741,B13,Entries!$F$2:$F$741,"No")</f>
        <v/>
      </c>
      <c r="H13" s="14">
        <f>IF(D13=0,"Not graded",IF(E13&gt;0,"Full",IF(F13&gt;0,"Partial","No")))</f>
        <v/>
      </c>
    </row>
    <row r="14" ht="15" customHeight="1" s="7">
      <c r="A14" s="14" t="inlineStr">
        <is>
          <t>Resource Development</t>
        </is>
      </c>
      <c r="B14" s="14" t="inlineStr">
        <is>
          <t>T1585</t>
        </is>
      </c>
      <c r="C14" s="14" t="inlineStr">
        <is>
          <t>Establish Accounts</t>
        </is>
      </c>
      <c r="D14" s="14">
        <f>COUNTIFS(Entries!$A$2:$A$741,A14,Entries!$B$2:$B$741,B14)</f>
        <v/>
      </c>
      <c r="E14" s="14">
        <f>COUNTIFS(Entries!$A$2:$A$741,A14,Entries!$B$2:$B$741,B14,Entries!$F$2:$F$741,"Full")</f>
        <v/>
      </c>
      <c r="F14" s="14">
        <f>COUNTIFS(Entries!$A$2:$A$741,A14,Entries!$B$2:$B$741,B14,Entries!$F$2:$F$741,"Partial")</f>
        <v/>
      </c>
      <c r="G14" s="14">
        <f>COUNTIFS(Entries!$A$2:$A$741,A14,Entries!$B$2:$B$741,B14,Entries!$F$2:$F$741,"No")</f>
        <v/>
      </c>
      <c r="H14" s="14">
        <f>IF(D14=0,"Not graded",IF(E14&gt;0,"Full",IF(F14&gt;0,"Partial","No")))</f>
        <v/>
      </c>
    </row>
    <row r="15" ht="15" customHeight="1" s="7">
      <c r="A15" s="14" t="inlineStr">
        <is>
          <t>Resource Development</t>
        </is>
      </c>
      <c r="B15" s="14" t="inlineStr">
        <is>
          <t>T1586</t>
        </is>
      </c>
      <c r="C15" s="14" t="inlineStr">
        <is>
          <t>Compromise Accounts</t>
        </is>
      </c>
      <c r="D15" s="14">
        <f>COUNTIFS(Entries!$A$2:$A$741,A15,Entries!$B$2:$B$741,B15)</f>
        <v/>
      </c>
      <c r="E15" s="14">
        <f>COUNTIFS(Entries!$A$2:$A$741,A15,Entries!$B$2:$B$741,B15,Entries!$F$2:$F$741,"Full")</f>
        <v/>
      </c>
      <c r="F15" s="14">
        <f>COUNTIFS(Entries!$A$2:$A$741,A15,Entries!$B$2:$B$741,B15,Entries!$F$2:$F$741,"Partial")</f>
        <v/>
      </c>
      <c r="G15" s="14">
        <f>COUNTIFS(Entries!$A$2:$A$741,A15,Entries!$B$2:$B$741,B15,Entries!$F$2:$F$741,"No")</f>
        <v/>
      </c>
      <c r="H15" s="14">
        <f>IF(D15=0,"Not graded",IF(E15&gt;0,"Full",IF(F15&gt;0,"Partial","No")))</f>
        <v/>
      </c>
    </row>
    <row r="16" ht="15" customHeight="1" s="7">
      <c r="A16" s="14" t="inlineStr">
        <is>
          <t>Resource Development</t>
        </is>
      </c>
      <c r="B16" s="14" t="inlineStr">
        <is>
          <t>T1587</t>
        </is>
      </c>
      <c r="C16" s="14" t="inlineStr">
        <is>
          <t>Develop Capabilities</t>
        </is>
      </c>
      <c r="D16" s="14">
        <f>COUNTIFS(Entries!$A$2:$A$741,A16,Entries!$B$2:$B$741,B16)</f>
        <v/>
      </c>
      <c r="E16" s="14">
        <f>COUNTIFS(Entries!$A$2:$A$741,A16,Entries!$B$2:$B$741,B16,Entries!$F$2:$F$741,"Full")</f>
        <v/>
      </c>
      <c r="F16" s="14">
        <f>COUNTIFS(Entries!$A$2:$A$741,A16,Entries!$B$2:$B$741,B16,Entries!$F$2:$F$741,"Partial")</f>
        <v/>
      </c>
      <c r="G16" s="14">
        <f>COUNTIFS(Entries!$A$2:$A$741,A16,Entries!$B$2:$B$741,B16,Entries!$F$2:$F$741,"No")</f>
        <v/>
      </c>
      <c r="H16" s="14">
        <f>IF(D16=0,"Not graded",IF(E16&gt;0,"Full",IF(F16&gt;0,"Partial","No")))</f>
        <v/>
      </c>
    </row>
    <row r="17" ht="15" customHeight="1" s="7">
      <c r="A17" s="14" t="inlineStr">
        <is>
          <t>Resource Development</t>
        </is>
      </c>
      <c r="B17" s="14" t="inlineStr">
        <is>
          <t>T1588</t>
        </is>
      </c>
      <c r="C17" s="14" t="inlineStr">
        <is>
          <t>Obtain Capabilities</t>
        </is>
      </c>
      <c r="D17" s="14">
        <f>COUNTIFS(Entries!$A$2:$A$741,A17,Entries!$B$2:$B$741,B17)</f>
        <v/>
      </c>
      <c r="E17" s="14">
        <f>COUNTIFS(Entries!$A$2:$A$741,A17,Entries!$B$2:$B$741,B17,Entries!$F$2:$F$741,"Full")</f>
        <v/>
      </c>
      <c r="F17" s="14">
        <f>COUNTIFS(Entries!$A$2:$A$741,A17,Entries!$B$2:$B$741,B17,Entries!$F$2:$F$741,"Partial")</f>
        <v/>
      </c>
      <c r="G17" s="14">
        <f>COUNTIFS(Entries!$A$2:$A$741,A17,Entries!$B$2:$B$741,B17,Entries!$F$2:$F$741,"No")</f>
        <v/>
      </c>
      <c r="H17" s="14">
        <f>IF(D17=0,"Not graded",IF(E17&gt;0,"Full",IF(F17&gt;0,"Partial","No")))</f>
        <v/>
      </c>
    </row>
    <row r="18" ht="15" customHeight="1" s="7">
      <c r="A18" s="14" t="inlineStr">
        <is>
          <t>Resource Development</t>
        </is>
      </c>
      <c r="B18" s="14" t="inlineStr">
        <is>
          <t>T1608</t>
        </is>
      </c>
      <c r="C18" s="14" t="inlineStr">
        <is>
          <t>Stage Capabilities</t>
        </is>
      </c>
      <c r="D18" s="14">
        <f>COUNTIFS(Entries!$A$2:$A$741,A18,Entries!$B$2:$B$741,B18)</f>
        <v/>
      </c>
      <c r="E18" s="14">
        <f>COUNTIFS(Entries!$A$2:$A$741,A18,Entries!$B$2:$B$741,B18,Entries!$F$2:$F$741,"Full")</f>
        <v/>
      </c>
      <c r="F18" s="14">
        <f>COUNTIFS(Entries!$A$2:$A$741,A18,Entries!$B$2:$B$741,B18,Entries!$F$2:$F$741,"Partial")</f>
        <v/>
      </c>
      <c r="G18" s="14">
        <f>COUNTIFS(Entries!$A$2:$A$741,A18,Entries!$B$2:$B$741,B18,Entries!$F$2:$F$741,"No")</f>
        <v/>
      </c>
      <c r="H18" s="14">
        <f>IF(D18=0,"Not graded",IF(E18&gt;0,"Full",IF(F18&gt;0,"Partial","No")))</f>
        <v/>
      </c>
    </row>
    <row r="19" ht="15" customHeight="1" s="7">
      <c r="A19" s="14" t="inlineStr">
        <is>
          <t>Resource Development</t>
        </is>
      </c>
      <c r="B19" s="14" t="inlineStr">
        <is>
          <t>T1650</t>
        </is>
      </c>
      <c r="C19" s="14" t="inlineStr">
        <is>
          <t>Acquire Access</t>
        </is>
      </c>
      <c r="D19" s="14">
        <f>COUNTIFS(Entries!$A$2:$A$741,A19,Entries!$B$2:$B$741,B19)</f>
        <v/>
      </c>
      <c r="E19" s="14">
        <f>COUNTIFS(Entries!$A$2:$A$741,A19,Entries!$B$2:$B$741,B19,Entries!$F$2:$F$741,"Full")</f>
        <v/>
      </c>
      <c r="F19" s="14">
        <f>COUNTIFS(Entries!$A$2:$A$741,A19,Entries!$B$2:$B$741,B19,Entries!$F$2:$F$741,"Partial")</f>
        <v/>
      </c>
      <c r="G19" s="14">
        <f>COUNTIFS(Entries!$A$2:$A$741,A19,Entries!$B$2:$B$741,B19,Entries!$F$2:$F$741,"No")</f>
        <v/>
      </c>
      <c r="H19" s="14">
        <f>IF(D19=0,"Not graded",IF(E19&gt;0,"Full",IF(F19&gt;0,"Partial","No")))</f>
        <v/>
      </c>
    </row>
    <row r="20" ht="15" customHeight="1" s="7">
      <c r="A20" s="14" t="inlineStr">
        <is>
          <t>Initial Access</t>
        </is>
      </c>
      <c r="B20" s="14" t="inlineStr">
        <is>
          <t>T1078</t>
        </is>
      </c>
      <c r="C20" s="14" t="inlineStr">
        <is>
          <t>Valid Accounts</t>
        </is>
      </c>
      <c r="D20" s="14">
        <f>COUNTIFS(Entries!$A$2:$A$741,A20,Entries!$B$2:$B$741,B20)</f>
        <v/>
      </c>
      <c r="E20" s="14">
        <f>COUNTIFS(Entries!$A$2:$A$741,A20,Entries!$B$2:$B$741,B20,Entries!$F$2:$F$741,"Full")</f>
        <v/>
      </c>
      <c r="F20" s="14">
        <f>COUNTIFS(Entries!$A$2:$A$741,A20,Entries!$B$2:$B$741,B20,Entries!$F$2:$F$741,"Partial")</f>
        <v/>
      </c>
      <c r="G20" s="14">
        <f>COUNTIFS(Entries!$A$2:$A$741,A20,Entries!$B$2:$B$741,B20,Entries!$F$2:$F$741,"No")</f>
        <v/>
      </c>
      <c r="H20" s="14">
        <f>IF(D20=0,"Not graded",IF(E20&gt;0,"Full",IF(F20&gt;0,"Partial","No")))</f>
        <v/>
      </c>
    </row>
    <row r="21" ht="15" customHeight="1" s="7">
      <c r="A21" s="14" t="inlineStr">
        <is>
          <t>Initial Access</t>
        </is>
      </c>
      <c r="B21" s="14" t="inlineStr">
        <is>
          <t>T1091</t>
        </is>
      </c>
      <c r="C21" s="14" t="inlineStr">
        <is>
          <t>Replication Through Removable Media</t>
        </is>
      </c>
      <c r="D21" s="14">
        <f>COUNTIFS(Entries!$A$2:$A$741,A21,Entries!$B$2:$B$741,B21)</f>
        <v/>
      </c>
      <c r="E21" s="14">
        <f>COUNTIFS(Entries!$A$2:$A$741,A21,Entries!$B$2:$B$741,B21,Entries!$F$2:$F$741,"Full")</f>
        <v/>
      </c>
      <c r="F21" s="14">
        <f>COUNTIFS(Entries!$A$2:$A$741,A21,Entries!$B$2:$B$741,B21,Entries!$F$2:$F$741,"Partial")</f>
        <v/>
      </c>
      <c r="G21" s="14">
        <f>COUNTIFS(Entries!$A$2:$A$741,A21,Entries!$B$2:$B$741,B21,Entries!$F$2:$F$741,"No")</f>
        <v/>
      </c>
      <c r="H21" s="14">
        <f>IF(D21=0,"Not graded",IF(E21&gt;0,"Full",IF(F21&gt;0,"Partial","No")))</f>
        <v/>
      </c>
    </row>
    <row r="22" ht="15" customHeight="1" s="7">
      <c r="A22" s="14" t="inlineStr">
        <is>
          <t>Initial Access</t>
        </is>
      </c>
      <c r="B22" s="14" t="inlineStr">
        <is>
          <t>T1133</t>
        </is>
      </c>
      <c r="C22" s="14" t="inlineStr">
        <is>
          <t>External Remote Services</t>
        </is>
      </c>
      <c r="D22" s="14">
        <f>COUNTIFS(Entries!$A$2:$A$741,A22,Entries!$B$2:$B$741,B22)</f>
        <v/>
      </c>
      <c r="E22" s="14">
        <f>COUNTIFS(Entries!$A$2:$A$741,A22,Entries!$B$2:$B$741,B22,Entries!$F$2:$F$741,"Full")</f>
        <v/>
      </c>
      <c r="F22" s="14">
        <f>COUNTIFS(Entries!$A$2:$A$741,A22,Entries!$B$2:$B$741,B22,Entries!$F$2:$F$741,"Partial")</f>
        <v/>
      </c>
      <c r="G22" s="14">
        <f>COUNTIFS(Entries!$A$2:$A$741,A22,Entries!$B$2:$B$741,B22,Entries!$F$2:$F$741,"No")</f>
        <v/>
      </c>
      <c r="H22" s="14">
        <f>IF(D22=0,"Not graded",IF(E22&gt;0,"Full",IF(F22&gt;0,"Partial","No")))</f>
        <v/>
      </c>
    </row>
    <row r="23" ht="15" customHeight="1" s="7">
      <c r="A23" s="14" t="inlineStr">
        <is>
          <t>Initial Access</t>
        </is>
      </c>
      <c r="B23" s="14" t="inlineStr">
        <is>
          <t>T1189</t>
        </is>
      </c>
      <c r="C23" s="14" t="inlineStr">
        <is>
          <t>Drive-by Compromise</t>
        </is>
      </c>
      <c r="D23" s="14">
        <f>COUNTIFS(Entries!$A$2:$A$741,A23,Entries!$B$2:$B$741,B23)</f>
        <v/>
      </c>
      <c r="E23" s="14">
        <f>COUNTIFS(Entries!$A$2:$A$741,A23,Entries!$B$2:$B$741,B23,Entries!$F$2:$F$741,"Full")</f>
        <v/>
      </c>
      <c r="F23" s="14">
        <f>COUNTIFS(Entries!$A$2:$A$741,A23,Entries!$B$2:$B$741,B23,Entries!$F$2:$F$741,"Partial")</f>
        <v/>
      </c>
      <c r="G23" s="14">
        <f>COUNTIFS(Entries!$A$2:$A$741,A23,Entries!$B$2:$B$741,B23,Entries!$F$2:$F$741,"No")</f>
        <v/>
      </c>
      <c r="H23" s="14">
        <f>IF(D23=0,"Not graded",IF(E23&gt;0,"Full",IF(F23&gt;0,"Partial","No")))</f>
        <v/>
      </c>
    </row>
    <row r="24" ht="15" customHeight="1" s="7">
      <c r="A24" s="14" t="inlineStr">
        <is>
          <t>Initial Access</t>
        </is>
      </c>
      <c r="B24" s="14" t="inlineStr">
        <is>
          <t>T1190</t>
        </is>
      </c>
      <c r="C24" s="14" t="inlineStr">
        <is>
          <t>Exploit Public-Facing Application</t>
        </is>
      </c>
      <c r="D24" s="14">
        <f>COUNTIFS(Entries!$A$2:$A$741,A24,Entries!$B$2:$B$741,B24)</f>
        <v/>
      </c>
      <c r="E24" s="14">
        <f>COUNTIFS(Entries!$A$2:$A$741,A24,Entries!$B$2:$B$741,B24,Entries!$F$2:$F$741,"Full")</f>
        <v/>
      </c>
      <c r="F24" s="14">
        <f>COUNTIFS(Entries!$A$2:$A$741,A24,Entries!$B$2:$B$741,B24,Entries!$F$2:$F$741,"Partial")</f>
        <v/>
      </c>
      <c r="G24" s="14">
        <f>COUNTIFS(Entries!$A$2:$A$741,A24,Entries!$B$2:$B$741,B24,Entries!$F$2:$F$741,"No")</f>
        <v/>
      </c>
      <c r="H24" s="14">
        <f>IF(D24=0,"Not graded",IF(E24&gt;0,"Full",IF(F24&gt;0,"Partial","No")))</f>
        <v/>
      </c>
    </row>
    <row r="25" ht="15" customHeight="1" s="7">
      <c r="A25" s="14" t="inlineStr">
        <is>
          <t>Initial Access</t>
        </is>
      </c>
      <c r="B25" s="14" t="inlineStr">
        <is>
          <t>T1195</t>
        </is>
      </c>
      <c r="C25" s="14" t="inlineStr">
        <is>
          <t>Supply Chain Compromise</t>
        </is>
      </c>
      <c r="D25" s="14">
        <f>COUNTIFS(Entries!$A$2:$A$741,A25,Entries!$B$2:$B$741,B25)</f>
        <v/>
      </c>
      <c r="E25" s="14">
        <f>COUNTIFS(Entries!$A$2:$A$741,A25,Entries!$B$2:$B$741,B25,Entries!$F$2:$F$741,"Full")</f>
        <v/>
      </c>
      <c r="F25" s="14">
        <f>COUNTIFS(Entries!$A$2:$A$741,A25,Entries!$B$2:$B$741,B25,Entries!$F$2:$F$741,"Partial")</f>
        <v/>
      </c>
      <c r="G25" s="14">
        <f>COUNTIFS(Entries!$A$2:$A$741,A25,Entries!$B$2:$B$741,B25,Entries!$F$2:$F$741,"No")</f>
        <v/>
      </c>
      <c r="H25" s="14">
        <f>IF(D25=0,"Not graded",IF(E25&gt;0,"Full",IF(F25&gt;0,"Partial","No")))</f>
        <v/>
      </c>
    </row>
    <row r="26" ht="15" customHeight="1" s="7">
      <c r="A26" s="14" t="inlineStr">
        <is>
          <t>Initial Access</t>
        </is>
      </c>
      <c r="B26" s="14" t="inlineStr">
        <is>
          <t>T1199</t>
        </is>
      </c>
      <c r="C26" s="14" t="inlineStr">
        <is>
          <t>Trusted Relationship</t>
        </is>
      </c>
      <c r="D26" s="14">
        <f>COUNTIFS(Entries!$A$2:$A$741,A26,Entries!$B$2:$B$741,B26)</f>
        <v/>
      </c>
      <c r="E26" s="14">
        <f>COUNTIFS(Entries!$A$2:$A$741,A26,Entries!$B$2:$B$741,B26,Entries!$F$2:$F$741,"Full")</f>
        <v/>
      </c>
      <c r="F26" s="14">
        <f>COUNTIFS(Entries!$A$2:$A$741,A26,Entries!$B$2:$B$741,B26,Entries!$F$2:$F$741,"Partial")</f>
        <v/>
      </c>
      <c r="G26" s="14">
        <f>COUNTIFS(Entries!$A$2:$A$741,A26,Entries!$B$2:$B$741,B26,Entries!$F$2:$F$741,"No")</f>
        <v/>
      </c>
      <c r="H26" s="14">
        <f>IF(D26=0,"Not graded",IF(E26&gt;0,"Full",IF(F26&gt;0,"Partial","No")))</f>
        <v/>
      </c>
    </row>
    <row r="27" ht="15" customHeight="1" s="7">
      <c r="A27" s="14" t="inlineStr">
        <is>
          <t>Initial Access</t>
        </is>
      </c>
      <c r="B27" s="14" t="inlineStr">
        <is>
          <t>T1200</t>
        </is>
      </c>
      <c r="C27" s="14" t="inlineStr">
        <is>
          <t>Hardware Additions</t>
        </is>
      </c>
      <c r="D27" s="14">
        <f>COUNTIFS(Entries!$A$2:$A$741,A27,Entries!$B$2:$B$741,B27)</f>
        <v/>
      </c>
      <c r="E27" s="14">
        <f>COUNTIFS(Entries!$A$2:$A$741,A27,Entries!$B$2:$B$741,B27,Entries!$F$2:$F$741,"Full")</f>
        <v/>
      </c>
      <c r="F27" s="14">
        <f>COUNTIFS(Entries!$A$2:$A$741,A27,Entries!$B$2:$B$741,B27,Entries!$F$2:$F$741,"Partial")</f>
        <v/>
      </c>
      <c r="G27" s="14">
        <f>COUNTIFS(Entries!$A$2:$A$741,A27,Entries!$B$2:$B$741,B27,Entries!$F$2:$F$741,"No")</f>
        <v/>
      </c>
      <c r="H27" s="14">
        <f>IF(D27=0,"Not graded",IF(E27&gt;0,"Full",IF(F27&gt;0,"Partial","No")))</f>
        <v/>
      </c>
    </row>
    <row r="28" ht="15" customHeight="1" s="7">
      <c r="A28" s="14" t="inlineStr">
        <is>
          <t>Initial Access</t>
        </is>
      </c>
      <c r="B28" s="14" t="inlineStr">
        <is>
          <t>T1566</t>
        </is>
      </c>
      <c r="C28" s="14" t="inlineStr">
        <is>
          <t>Phishing</t>
        </is>
      </c>
      <c r="D28" s="14">
        <f>COUNTIFS(Entries!$A$2:$A$741,A28,Entries!$B$2:$B$741,B28)</f>
        <v/>
      </c>
      <c r="E28" s="14">
        <f>COUNTIFS(Entries!$A$2:$A$741,A28,Entries!$B$2:$B$741,B28,Entries!$F$2:$F$741,"Full")</f>
        <v/>
      </c>
      <c r="F28" s="14">
        <f>COUNTIFS(Entries!$A$2:$A$741,A28,Entries!$B$2:$B$741,B28,Entries!$F$2:$F$741,"Partial")</f>
        <v/>
      </c>
      <c r="G28" s="14">
        <f>COUNTIFS(Entries!$A$2:$A$741,A28,Entries!$B$2:$B$741,B28,Entries!$F$2:$F$741,"No")</f>
        <v/>
      </c>
      <c r="H28" s="14">
        <f>IF(D28=0,"Not graded",IF(E28&gt;0,"Full",IF(F28&gt;0,"Partial","No")))</f>
        <v/>
      </c>
    </row>
    <row r="29" ht="15" customHeight="1" s="7">
      <c r="A29" s="14" t="inlineStr">
        <is>
          <t>Initial Access</t>
        </is>
      </c>
      <c r="B29" s="14" t="inlineStr">
        <is>
          <t>T1659</t>
        </is>
      </c>
      <c r="C29" s="14" t="inlineStr">
        <is>
          <t>Content Injection</t>
        </is>
      </c>
      <c r="D29" s="14">
        <f>COUNTIFS(Entries!$A$2:$A$741,A29,Entries!$B$2:$B$741,B29)</f>
        <v/>
      </c>
      <c r="E29" s="14">
        <f>COUNTIFS(Entries!$A$2:$A$741,A29,Entries!$B$2:$B$741,B29,Entries!$F$2:$F$741,"Full")</f>
        <v/>
      </c>
      <c r="F29" s="14">
        <f>COUNTIFS(Entries!$A$2:$A$741,A29,Entries!$B$2:$B$741,B29,Entries!$F$2:$F$741,"Partial")</f>
        <v/>
      </c>
      <c r="G29" s="14">
        <f>COUNTIFS(Entries!$A$2:$A$741,A29,Entries!$B$2:$B$741,B29,Entries!$F$2:$F$741,"No")</f>
        <v/>
      </c>
      <c r="H29" s="14">
        <f>IF(D29=0,"Not graded",IF(E29&gt;0,"Full",IF(F29&gt;0,"Partial","No")))</f>
        <v/>
      </c>
    </row>
    <row r="30" ht="15" customHeight="1" s="7">
      <c r="A30" s="14" t="inlineStr">
        <is>
          <t>Initial Access</t>
        </is>
      </c>
      <c r="B30" s="14" t="inlineStr">
        <is>
          <t>T1669</t>
        </is>
      </c>
      <c r="C30" s="14" t="inlineStr">
        <is>
          <t>Wi-Fi Networks</t>
        </is>
      </c>
      <c r="D30" s="14">
        <f>COUNTIFS(Entries!$A$2:$A$741,A30,Entries!$B$2:$B$741,B30)</f>
        <v/>
      </c>
      <c r="E30" s="14">
        <f>COUNTIFS(Entries!$A$2:$A$741,A30,Entries!$B$2:$B$741,B30,Entries!$F$2:$F$741,"Full")</f>
        <v/>
      </c>
      <c r="F30" s="14">
        <f>COUNTIFS(Entries!$A$2:$A$741,A30,Entries!$B$2:$B$741,B30,Entries!$F$2:$F$741,"Partial")</f>
        <v/>
      </c>
      <c r="G30" s="14">
        <f>COUNTIFS(Entries!$A$2:$A$741,A30,Entries!$B$2:$B$741,B30,Entries!$F$2:$F$741,"No")</f>
        <v/>
      </c>
      <c r="H30" s="14">
        <f>IF(D30=0,"Not graded",IF(E30&gt;0,"Full",IF(F30&gt;0,"Partial","No")))</f>
        <v/>
      </c>
    </row>
    <row r="31" ht="15" customHeight="1" s="7">
      <c r="A31" s="14" t="inlineStr">
        <is>
          <t>Execution</t>
        </is>
      </c>
      <c r="B31" s="14" t="inlineStr">
        <is>
          <t>T1047</t>
        </is>
      </c>
      <c r="C31" s="14" t="inlineStr">
        <is>
          <t>Windows Management Instrumentation</t>
        </is>
      </c>
      <c r="D31" s="14">
        <f>COUNTIFS(Entries!$A$2:$A$741,A31,Entries!$B$2:$B$741,B31)</f>
        <v/>
      </c>
      <c r="E31" s="14">
        <f>COUNTIFS(Entries!$A$2:$A$741,A31,Entries!$B$2:$B$741,B31,Entries!$F$2:$F$741,"Full")</f>
        <v/>
      </c>
      <c r="F31" s="14">
        <f>COUNTIFS(Entries!$A$2:$A$741,A31,Entries!$B$2:$B$741,B31,Entries!$F$2:$F$741,"Partial")</f>
        <v/>
      </c>
      <c r="G31" s="14">
        <f>COUNTIFS(Entries!$A$2:$A$741,A31,Entries!$B$2:$B$741,B31,Entries!$F$2:$F$741,"No")</f>
        <v/>
      </c>
      <c r="H31" s="14">
        <f>IF(D31=0,"Not graded",IF(E31&gt;0,"Full",IF(F31&gt;0,"Partial","No")))</f>
        <v/>
      </c>
    </row>
    <row r="32" ht="15" customHeight="1" s="7">
      <c r="A32" s="14" t="inlineStr">
        <is>
          <t>Execution</t>
        </is>
      </c>
      <c r="B32" s="14" t="inlineStr">
        <is>
          <t>T1053</t>
        </is>
      </c>
      <c r="C32" s="14" t="inlineStr">
        <is>
          <t>Scheduled Task/Job</t>
        </is>
      </c>
      <c r="D32" s="14">
        <f>COUNTIFS(Entries!$A$2:$A$741,A32,Entries!$B$2:$B$741,B32)</f>
        <v/>
      </c>
      <c r="E32" s="14">
        <f>COUNTIFS(Entries!$A$2:$A$741,A32,Entries!$B$2:$B$741,B32,Entries!$F$2:$F$741,"Full")</f>
        <v/>
      </c>
      <c r="F32" s="14">
        <f>COUNTIFS(Entries!$A$2:$A$741,A32,Entries!$B$2:$B$741,B32,Entries!$F$2:$F$741,"Partial")</f>
        <v/>
      </c>
      <c r="G32" s="14">
        <f>COUNTIFS(Entries!$A$2:$A$741,A32,Entries!$B$2:$B$741,B32,Entries!$F$2:$F$741,"No")</f>
        <v/>
      </c>
      <c r="H32" s="14">
        <f>IF(D32=0,"Not graded",IF(E32&gt;0,"Full",IF(F32&gt;0,"Partial","No")))</f>
        <v/>
      </c>
    </row>
    <row r="33" ht="15" customHeight="1" s="7">
      <c r="A33" s="14" t="inlineStr">
        <is>
          <t>Execution</t>
        </is>
      </c>
      <c r="B33" s="14" t="inlineStr">
        <is>
          <t>T1059</t>
        </is>
      </c>
      <c r="C33" s="14" t="inlineStr">
        <is>
          <t>Command and Scripting Interpreter</t>
        </is>
      </c>
      <c r="D33" s="14">
        <f>COUNTIFS(Entries!$A$2:$A$741,A33,Entries!$B$2:$B$741,B33)</f>
        <v/>
      </c>
      <c r="E33" s="14">
        <f>COUNTIFS(Entries!$A$2:$A$741,A33,Entries!$B$2:$B$741,B33,Entries!$F$2:$F$741,"Full")</f>
        <v/>
      </c>
      <c r="F33" s="14">
        <f>COUNTIFS(Entries!$A$2:$A$741,A33,Entries!$B$2:$B$741,B33,Entries!$F$2:$F$741,"Partial")</f>
        <v/>
      </c>
      <c r="G33" s="14">
        <f>COUNTIFS(Entries!$A$2:$A$741,A33,Entries!$B$2:$B$741,B33,Entries!$F$2:$F$741,"No")</f>
        <v/>
      </c>
      <c r="H33" s="14">
        <f>IF(D33=0,"Not graded",IF(E33&gt;0,"Full",IF(F33&gt;0,"Partial","No")))</f>
        <v/>
      </c>
    </row>
    <row r="34" ht="15" customHeight="1" s="7">
      <c r="A34" s="14" t="inlineStr">
        <is>
          <t>Execution</t>
        </is>
      </c>
      <c r="B34" s="14" t="inlineStr">
        <is>
          <t>T1072</t>
        </is>
      </c>
      <c r="C34" s="14" t="inlineStr">
        <is>
          <t>Software Deployment Tools</t>
        </is>
      </c>
      <c r="D34" s="14">
        <f>COUNTIFS(Entries!$A$2:$A$741,A34,Entries!$B$2:$B$741,B34)</f>
        <v/>
      </c>
      <c r="E34" s="14">
        <f>COUNTIFS(Entries!$A$2:$A$741,A34,Entries!$B$2:$B$741,B34,Entries!$F$2:$F$741,"Full")</f>
        <v/>
      </c>
      <c r="F34" s="14">
        <f>COUNTIFS(Entries!$A$2:$A$741,A34,Entries!$B$2:$B$741,B34,Entries!$F$2:$F$741,"Partial")</f>
        <v/>
      </c>
      <c r="G34" s="14">
        <f>COUNTIFS(Entries!$A$2:$A$741,A34,Entries!$B$2:$B$741,B34,Entries!$F$2:$F$741,"No")</f>
        <v/>
      </c>
      <c r="H34" s="14">
        <f>IF(D34=0,"Not graded",IF(E34&gt;0,"Full",IF(F34&gt;0,"Partial","No")))</f>
        <v/>
      </c>
    </row>
    <row r="35" ht="15" customHeight="1" s="7">
      <c r="A35" s="14" t="inlineStr">
        <is>
          <t>Execution</t>
        </is>
      </c>
      <c r="B35" s="14" t="inlineStr">
        <is>
          <t>T1106</t>
        </is>
      </c>
      <c r="C35" s="14" t="inlineStr">
        <is>
          <t>Native API</t>
        </is>
      </c>
      <c r="D35" s="14">
        <f>COUNTIFS(Entries!$A$2:$A$741,A35,Entries!$B$2:$B$741,B35)</f>
        <v/>
      </c>
      <c r="E35" s="14">
        <f>COUNTIFS(Entries!$A$2:$A$741,A35,Entries!$B$2:$B$741,B35,Entries!$F$2:$F$741,"Full")</f>
        <v/>
      </c>
      <c r="F35" s="14">
        <f>COUNTIFS(Entries!$A$2:$A$741,A35,Entries!$B$2:$B$741,B35,Entries!$F$2:$F$741,"Partial")</f>
        <v/>
      </c>
      <c r="G35" s="14">
        <f>COUNTIFS(Entries!$A$2:$A$741,A35,Entries!$B$2:$B$741,B35,Entries!$F$2:$F$741,"No")</f>
        <v/>
      </c>
      <c r="H35" s="14">
        <f>IF(D35=0,"Not graded",IF(E35&gt;0,"Full",IF(F35&gt;0,"Partial","No")))</f>
        <v/>
      </c>
    </row>
    <row r="36" ht="15" customHeight="1" s="7">
      <c r="A36" s="14" t="inlineStr">
        <is>
          <t>Execution</t>
        </is>
      </c>
      <c r="B36" s="14" t="inlineStr">
        <is>
          <t>T1129</t>
        </is>
      </c>
      <c r="C36" s="14" t="inlineStr">
        <is>
          <t>Shared Modules</t>
        </is>
      </c>
      <c r="D36" s="14">
        <f>COUNTIFS(Entries!$A$2:$A$741,A36,Entries!$B$2:$B$741,B36)</f>
        <v/>
      </c>
      <c r="E36" s="14">
        <f>COUNTIFS(Entries!$A$2:$A$741,A36,Entries!$B$2:$B$741,B36,Entries!$F$2:$F$741,"Full")</f>
        <v/>
      </c>
      <c r="F36" s="14">
        <f>COUNTIFS(Entries!$A$2:$A$741,A36,Entries!$B$2:$B$741,B36,Entries!$F$2:$F$741,"Partial")</f>
        <v/>
      </c>
      <c r="G36" s="14">
        <f>COUNTIFS(Entries!$A$2:$A$741,A36,Entries!$B$2:$B$741,B36,Entries!$F$2:$F$741,"No")</f>
        <v/>
      </c>
      <c r="H36" s="14">
        <f>IF(D36=0,"Not graded",IF(E36&gt;0,"Full",IF(F36&gt;0,"Partial","No")))</f>
        <v/>
      </c>
    </row>
    <row r="37" ht="15" customHeight="1" s="7">
      <c r="A37" s="14" t="inlineStr">
        <is>
          <t>Execution</t>
        </is>
      </c>
      <c r="B37" s="14" t="inlineStr">
        <is>
          <t>T1203</t>
        </is>
      </c>
      <c r="C37" s="14" t="inlineStr">
        <is>
          <t>Exploitation for Client Execution</t>
        </is>
      </c>
      <c r="D37" s="14">
        <f>COUNTIFS(Entries!$A$2:$A$741,A37,Entries!$B$2:$B$741,B37)</f>
        <v/>
      </c>
      <c r="E37" s="14">
        <f>COUNTIFS(Entries!$A$2:$A$741,A37,Entries!$B$2:$B$741,B37,Entries!$F$2:$F$741,"Full")</f>
        <v/>
      </c>
      <c r="F37" s="14">
        <f>COUNTIFS(Entries!$A$2:$A$741,A37,Entries!$B$2:$B$741,B37,Entries!$F$2:$F$741,"Partial")</f>
        <v/>
      </c>
      <c r="G37" s="14">
        <f>COUNTIFS(Entries!$A$2:$A$741,A37,Entries!$B$2:$B$741,B37,Entries!$F$2:$F$741,"No")</f>
        <v/>
      </c>
      <c r="H37" s="14">
        <f>IF(D37=0,"Not graded",IF(E37&gt;0,"Full",IF(F37&gt;0,"Partial","No")))</f>
        <v/>
      </c>
    </row>
    <row r="38" ht="15" customHeight="1" s="7">
      <c r="A38" s="14" t="inlineStr">
        <is>
          <t>Execution</t>
        </is>
      </c>
      <c r="B38" s="14" t="inlineStr">
        <is>
          <t>T1204</t>
        </is>
      </c>
      <c r="C38" s="14" t="inlineStr">
        <is>
          <t>User Execution</t>
        </is>
      </c>
      <c r="D38" s="14">
        <f>COUNTIFS(Entries!$A$2:$A$741,A38,Entries!$B$2:$B$741,B38)</f>
        <v/>
      </c>
      <c r="E38" s="14">
        <f>COUNTIFS(Entries!$A$2:$A$741,A38,Entries!$B$2:$B$741,B38,Entries!$F$2:$F$741,"Full")</f>
        <v/>
      </c>
      <c r="F38" s="14">
        <f>COUNTIFS(Entries!$A$2:$A$741,A38,Entries!$B$2:$B$741,B38,Entries!$F$2:$F$741,"Partial")</f>
        <v/>
      </c>
      <c r="G38" s="14">
        <f>COUNTIFS(Entries!$A$2:$A$741,A38,Entries!$B$2:$B$741,B38,Entries!$F$2:$F$741,"No")</f>
        <v/>
      </c>
      <c r="H38" s="14">
        <f>IF(D38=0,"Not graded",IF(E38&gt;0,"Full",IF(F38&gt;0,"Partial","No")))</f>
        <v/>
      </c>
    </row>
    <row r="39" ht="15" customHeight="1" s="7">
      <c r="A39" s="14" t="inlineStr">
        <is>
          <t>Execution</t>
        </is>
      </c>
      <c r="B39" s="14" t="inlineStr">
        <is>
          <t>T1559</t>
        </is>
      </c>
      <c r="C39" s="14" t="inlineStr">
        <is>
          <t>Inter-Process Communication</t>
        </is>
      </c>
      <c r="D39" s="14">
        <f>COUNTIFS(Entries!$A$2:$A$741,A39,Entries!$B$2:$B$741,B39)</f>
        <v/>
      </c>
      <c r="E39" s="14">
        <f>COUNTIFS(Entries!$A$2:$A$741,A39,Entries!$B$2:$B$741,B39,Entries!$F$2:$F$741,"Full")</f>
        <v/>
      </c>
      <c r="F39" s="14">
        <f>COUNTIFS(Entries!$A$2:$A$741,A39,Entries!$B$2:$B$741,B39,Entries!$F$2:$F$741,"Partial")</f>
        <v/>
      </c>
      <c r="G39" s="14">
        <f>COUNTIFS(Entries!$A$2:$A$741,A39,Entries!$B$2:$B$741,B39,Entries!$F$2:$F$741,"No")</f>
        <v/>
      </c>
      <c r="H39" s="14">
        <f>IF(D39=0,"Not graded",IF(E39&gt;0,"Full",IF(F39&gt;0,"Partial","No")))</f>
        <v/>
      </c>
    </row>
    <row r="40" ht="15" customHeight="1" s="7">
      <c r="A40" s="14" t="inlineStr">
        <is>
          <t>Execution</t>
        </is>
      </c>
      <c r="B40" s="14" t="inlineStr">
        <is>
          <t>T1569</t>
        </is>
      </c>
      <c r="C40" s="14" t="inlineStr">
        <is>
          <t>System Services</t>
        </is>
      </c>
      <c r="D40" s="14">
        <f>COUNTIFS(Entries!$A$2:$A$741,A40,Entries!$B$2:$B$741,B40)</f>
        <v/>
      </c>
      <c r="E40" s="14">
        <f>COUNTIFS(Entries!$A$2:$A$741,A40,Entries!$B$2:$B$741,B40,Entries!$F$2:$F$741,"Full")</f>
        <v/>
      </c>
      <c r="F40" s="14">
        <f>COUNTIFS(Entries!$A$2:$A$741,A40,Entries!$B$2:$B$741,B40,Entries!$F$2:$F$741,"Partial")</f>
        <v/>
      </c>
      <c r="G40" s="14">
        <f>COUNTIFS(Entries!$A$2:$A$741,A40,Entries!$B$2:$B$741,B40,Entries!$F$2:$F$741,"No")</f>
        <v/>
      </c>
      <c r="H40" s="14">
        <f>IF(D40=0,"Not graded",IF(E40&gt;0,"Full",IF(F40&gt;0,"Partial","No")))</f>
        <v/>
      </c>
    </row>
    <row r="41" ht="15" customHeight="1" s="7">
      <c r="A41" s="14" t="inlineStr">
        <is>
          <t>Execution</t>
        </is>
      </c>
      <c r="B41" s="14" t="inlineStr">
        <is>
          <t>T1609</t>
        </is>
      </c>
      <c r="C41" s="14" t="inlineStr">
        <is>
          <t>Container Administration Command</t>
        </is>
      </c>
      <c r="D41" s="14">
        <f>COUNTIFS(Entries!$A$2:$A$741,A41,Entries!$B$2:$B$741,B41)</f>
        <v/>
      </c>
      <c r="E41" s="14">
        <f>COUNTIFS(Entries!$A$2:$A$741,A41,Entries!$B$2:$B$741,B41,Entries!$F$2:$F$741,"Full")</f>
        <v/>
      </c>
      <c r="F41" s="14">
        <f>COUNTIFS(Entries!$A$2:$A$741,A41,Entries!$B$2:$B$741,B41,Entries!$F$2:$F$741,"Partial")</f>
        <v/>
      </c>
      <c r="G41" s="14">
        <f>COUNTIFS(Entries!$A$2:$A$741,A41,Entries!$B$2:$B$741,B41,Entries!$F$2:$F$741,"No")</f>
        <v/>
      </c>
      <c r="H41" s="14">
        <f>IF(D41=0,"Not graded",IF(E41&gt;0,"Full",IF(F41&gt;0,"Partial","No")))</f>
        <v/>
      </c>
    </row>
    <row r="42" ht="15" customHeight="1" s="7">
      <c r="A42" s="14" t="inlineStr">
        <is>
          <t>Execution</t>
        </is>
      </c>
      <c r="B42" s="14" t="inlineStr">
        <is>
          <t>T1610</t>
        </is>
      </c>
      <c r="C42" s="14" t="inlineStr">
        <is>
          <t>Deploy Container</t>
        </is>
      </c>
      <c r="D42" s="14">
        <f>COUNTIFS(Entries!$A$2:$A$741,A42,Entries!$B$2:$B$741,B42)</f>
        <v/>
      </c>
      <c r="E42" s="14">
        <f>COUNTIFS(Entries!$A$2:$A$741,A42,Entries!$B$2:$B$741,B42,Entries!$F$2:$F$741,"Full")</f>
        <v/>
      </c>
      <c r="F42" s="14">
        <f>COUNTIFS(Entries!$A$2:$A$741,A42,Entries!$B$2:$B$741,B42,Entries!$F$2:$F$741,"Partial")</f>
        <v/>
      </c>
      <c r="G42" s="14">
        <f>COUNTIFS(Entries!$A$2:$A$741,A42,Entries!$B$2:$B$741,B42,Entries!$F$2:$F$741,"No")</f>
        <v/>
      </c>
      <c r="H42" s="14">
        <f>IF(D42=0,"Not graded",IF(E42&gt;0,"Full",IF(F42&gt;0,"Partial","No")))</f>
        <v/>
      </c>
    </row>
    <row r="43" ht="15" customHeight="1" s="7">
      <c r="A43" s="14" t="inlineStr">
        <is>
          <t>Execution</t>
        </is>
      </c>
      <c r="B43" s="14" t="inlineStr">
        <is>
          <t>T1648</t>
        </is>
      </c>
      <c r="C43" s="14" t="inlineStr">
        <is>
          <t>Serverless Execution</t>
        </is>
      </c>
      <c r="D43" s="14">
        <f>COUNTIFS(Entries!$A$2:$A$741,A43,Entries!$B$2:$B$741,B43)</f>
        <v/>
      </c>
      <c r="E43" s="14">
        <f>COUNTIFS(Entries!$A$2:$A$741,A43,Entries!$B$2:$B$741,B43,Entries!$F$2:$F$741,"Full")</f>
        <v/>
      </c>
      <c r="F43" s="14">
        <f>COUNTIFS(Entries!$A$2:$A$741,A43,Entries!$B$2:$B$741,B43,Entries!$F$2:$F$741,"Partial")</f>
        <v/>
      </c>
      <c r="G43" s="14">
        <f>COUNTIFS(Entries!$A$2:$A$741,A43,Entries!$B$2:$B$741,B43,Entries!$F$2:$F$741,"No")</f>
        <v/>
      </c>
      <c r="H43" s="14">
        <f>IF(D43=0,"Not graded",IF(E43&gt;0,"Full",IF(F43&gt;0,"Partial","No")))</f>
        <v/>
      </c>
    </row>
    <row r="44" ht="15" customHeight="1" s="7">
      <c r="A44" s="14" t="inlineStr">
        <is>
          <t>Execution</t>
        </is>
      </c>
      <c r="B44" s="14" t="inlineStr">
        <is>
          <t>T1651</t>
        </is>
      </c>
      <c r="C44" s="14" t="inlineStr">
        <is>
          <t>Cloud Administration Command</t>
        </is>
      </c>
      <c r="D44" s="14">
        <f>COUNTIFS(Entries!$A$2:$A$741,A44,Entries!$B$2:$B$741,B44)</f>
        <v/>
      </c>
      <c r="E44" s="14">
        <f>COUNTIFS(Entries!$A$2:$A$741,A44,Entries!$B$2:$B$741,B44,Entries!$F$2:$F$741,"Full")</f>
        <v/>
      </c>
      <c r="F44" s="14">
        <f>COUNTIFS(Entries!$A$2:$A$741,A44,Entries!$B$2:$B$741,B44,Entries!$F$2:$F$741,"Partial")</f>
        <v/>
      </c>
      <c r="G44" s="14">
        <f>COUNTIFS(Entries!$A$2:$A$741,A44,Entries!$B$2:$B$741,B44,Entries!$F$2:$F$741,"No")</f>
        <v/>
      </c>
      <c r="H44" s="14">
        <f>IF(D44=0,"Not graded",IF(E44&gt;0,"Full",IF(F44&gt;0,"Partial","No")))</f>
        <v/>
      </c>
    </row>
    <row r="45" ht="15" customHeight="1" s="7">
      <c r="A45" s="14" t="inlineStr">
        <is>
          <t>Execution</t>
        </is>
      </c>
      <c r="B45" s="14" t="inlineStr">
        <is>
          <t>T1674</t>
        </is>
      </c>
      <c r="C45" s="14" t="inlineStr">
        <is>
          <t>Input Injection</t>
        </is>
      </c>
      <c r="D45" s="14">
        <f>COUNTIFS(Entries!$A$2:$A$741,A45,Entries!$B$2:$B$741,B45)</f>
        <v/>
      </c>
      <c r="E45" s="14">
        <f>COUNTIFS(Entries!$A$2:$A$741,A45,Entries!$B$2:$B$741,B45,Entries!$F$2:$F$741,"Full")</f>
        <v/>
      </c>
      <c r="F45" s="14">
        <f>COUNTIFS(Entries!$A$2:$A$741,A45,Entries!$B$2:$B$741,B45,Entries!$F$2:$F$741,"Partial")</f>
        <v/>
      </c>
      <c r="G45" s="14">
        <f>COUNTIFS(Entries!$A$2:$A$741,A45,Entries!$B$2:$B$741,B45,Entries!$F$2:$F$741,"No")</f>
        <v/>
      </c>
      <c r="H45" s="14">
        <f>IF(D45=0,"Not graded",IF(E45&gt;0,"Full",IF(F45&gt;0,"Partial","No")))</f>
        <v/>
      </c>
    </row>
    <row r="46" ht="15" customHeight="1" s="7">
      <c r="A46" s="14" t="inlineStr">
        <is>
          <t>Execution</t>
        </is>
      </c>
      <c r="B46" s="14" t="inlineStr">
        <is>
          <t>T1675</t>
        </is>
      </c>
      <c r="C46" s="14" t="inlineStr">
        <is>
          <t>ESXi Administration Command</t>
        </is>
      </c>
      <c r="D46" s="14">
        <f>COUNTIFS(Entries!$A$2:$A$741,A46,Entries!$B$2:$B$741,B46)</f>
        <v/>
      </c>
      <c r="E46" s="14">
        <f>COUNTIFS(Entries!$A$2:$A$741,A46,Entries!$B$2:$B$741,B46,Entries!$F$2:$F$741,"Full")</f>
        <v/>
      </c>
      <c r="F46" s="14">
        <f>COUNTIFS(Entries!$A$2:$A$741,A46,Entries!$B$2:$B$741,B46,Entries!$F$2:$F$741,"Partial")</f>
        <v/>
      </c>
      <c r="G46" s="14">
        <f>COUNTIFS(Entries!$A$2:$A$741,A46,Entries!$B$2:$B$741,B46,Entries!$F$2:$F$741,"No")</f>
        <v/>
      </c>
      <c r="H46" s="14">
        <f>IF(D46=0,"Not graded",IF(E46&gt;0,"Full",IF(F46&gt;0,"Partial","No")))</f>
        <v/>
      </c>
    </row>
    <row r="47" ht="15" customHeight="1" s="7">
      <c r="A47" s="14" t="inlineStr">
        <is>
          <t>Persistence</t>
        </is>
      </c>
      <c r="B47" s="14" t="inlineStr">
        <is>
          <t>T1037</t>
        </is>
      </c>
      <c r="C47" s="14" t="inlineStr">
        <is>
          <t>Boot or Logon Initialization Scripts</t>
        </is>
      </c>
      <c r="D47" s="14">
        <f>COUNTIFS(Entries!$A$2:$A$741,A47,Entries!$B$2:$B$741,B47)</f>
        <v/>
      </c>
      <c r="E47" s="14">
        <f>COUNTIFS(Entries!$A$2:$A$741,A47,Entries!$B$2:$B$741,B47,Entries!$F$2:$F$741,"Full")</f>
        <v/>
      </c>
      <c r="F47" s="14">
        <f>COUNTIFS(Entries!$A$2:$A$741,A47,Entries!$B$2:$B$741,B47,Entries!$F$2:$F$741,"Partial")</f>
        <v/>
      </c>
      <c r="G47" s="14">
        <f>COUNTIFS(Entries!$A$2:$A$741,A47,Entries!$B$2:$B$741,B47,Entries!$F$2:$F$741,"No")</f>
        <v/>
      </c>
      <c r="H47" s="14">
        <f>IF(D47=0,"Not graded",IF(E47&gt;0,"Full",IF(F47&gt;0,"Partial","No")))</f>
        <v/>
      </c>
    </row>
    <row r="48" ht="15" customHeight="1" s="7">
      <c r="A48" s="14" t="inlineStr">
        <is>
          <t>Persistence</t>
        </is>
      </c>
      <c r="B48" s="14" t="inlineStr">
        <is>
          <t>T1053</t>
        </is>
      </c>
      <c r="C48" s="14" t="inlineStr">
        <is>
          <t>Scheduled Task/Job</t>
        </is>
      </c>
      <c r="D48" s="14">
        <f>COUNTIFS(Entries!$A$2:$A$741,A48,Entries!$B$2:$B$741,B48)</f>
        <v/>
      </c>
      <c r="E48" s="14">
        <f>COUNTIFS(Entries!$A$2:$A$741,A48,Entries!$B$2:$B$741,B48,Entries!$F$2:$F$741,"Full")</f>
        <v/>
      </c>
      <c r="F48" s="14">
        <f>COUNTIFS(Entries!$A$2:$A$741,A48,Entries!$B$2:$B$741,B48,Entries!$F$2:$F$741,"Partial")</f>
        <v/>
      </c>
      <c r="G48" s="14">
        <f>COUNTIFS(Entries!$A$2:$A$741,A48,Entries!$B$2:$B$741,B48,Entries!$F$2:$F$741,"No")</f>
        <v/>
      </c>
      <c r="H48" s="14">
        <f>IF(D48=0,"Not graded",IF(E48&gt;0,"Full",IF(F48&gt;0,"Partial","No")))</f>
        <v/>
      </c>
    </row>
    <row r="49" ht="15" customHeight="1" s="7">
      <c r="A49" s="14" t="inlineStr">
        <is>
          <t>Persistence</t>
        </is>
      </c>
      <c r="B49" s="14" t="inlineStr">
        <is>
          <t>T1078</t>
        </is>
      </c>
      <c r="C49" s="14" t="inlineStr">
        <is>
          <t>Valid Accounts</t>
        </is>
      </c>
      <c r="D49" s="14">
        <f>COUNTIFS(Entries!$A$2:$A$741,A49,Entries!$B$2:$B$741,B49)</f>
        <v/>
      </c>
      <c r="E49" s="14">
        <f>COUNTIFS(Entries!$A$2:$A$741,A49,Entries!$B$2:$B$741,B49,Entries!$F$2:$F$741,"Full")</f>
        <v/>
      </c>
      <c r="F49" s="14">
        <f>COUNTIFS(Entries!$A$2:$A$741,A49,Entries!$B$2:$B$741,B49,Entries!$F$2:$F$741,"Partial")</f>
        <v/>
      </c>
      <c r="G49" s="14">
        <f>COUNTIFS(Entries!$A$2:$A$741,A49,Entries!$B$2:$B$741,B49,Entries!$F$2:$F$741,"No")</f>
        <v/>
      </c>
      <c r="H49" s="14">
        <f>IF(D49=0,"Not graded",IF(E49&gt;0,"Full",IF(F49&gt;0,"Partial","No")))</f>
        <v/>
      </c>
    </row>
    <row r="50" ht="15" customHeight="1" s="7">
      <c r="A50" s="14" t="inlineStr">
        <is>
          <t>Persistence</t>
        </is>
      </c>
      <c r="B50" s="14" t="inlineStr">
        <is>
          <t>T1098</t>
        </is>
      </c>
      <c r="C50" s="14" t="inlineStr">
        <is>
          <t>Account Manipulation</t>
        </is>
      </c>
      <c r="D50" s="14">
        <f>COUNTIFS(Entries!$A$2:$A$741,A50,Entries!$B$2:$B$741,B50)</f>
        <v/>
      </c>
      <c r="E50" s="14">
        <f>COUNTIFS(Entries!$A$2:$A$741,A50,Entries!$B$2:$B$741,B50,Entries!$F$2:$F$741,"Full")</f>
        <v/>
      </c>
      <c r="F50" s="14">
        <f>COUNTIFS(Entries!$A$2:$A$741,A50,Entries!$B$2:$B$741,B50,Entries!$F$2:$F$741,"Partial")</f>
        <v/>
      </c>
      <c r="G50" s="14">
        <f>COUNTIFS(Entries!$A$2:$A$741,A50,Entries!$B$2:$B$741,B50,Entries!$F$2:$F$741,"No")</f>
        <v/>
      </c>
      <c r="H50" s="14">
        <f>IF(D50=0,"Not graded",IF(E50&gt;0,"Full",IF(F50&gt;0,"Partial","No")))</f>
        <v/>
      </c>
    </row>
    <row r="51" ht="15" customHeight="1" s="7">
      <c r="A51" s="14" t="inlineStr">
        <is>
          <t>Persistence</t>
        </is>
      </c>
      <c r="B51" s="14" t="inlineStr">
        <is>
          <t>T1112</t>
        </is>
      </c>
      <c r="C51" s="14" t="inlineStr">
        <is>
          <t>Modify Registry</t>
        </is>
      </c>
      <c r="D51" s="14">
        <f>COUNTIFS(Entries!$A$2:$A$741,A51,Entries!$B$2:$B$741,B51)</f>
        <v/>
      </c>
      <c r="E51" s="14">
        <f>COUNTIFS(Entries!$A$2:$A$741,A51,Entries!$B$2:$B$741,B51,Entries!$F$2:$F$741,"Full")</f>
        <v/>
      </c>
      <c r="F51" s="14">
        <f>COUNTIFS(Entries!$A$2:$A$741,A51,Entries!$B$2:$B$741,B51,Entries!$F$2:$F$741,"Partial")</f>
        <v/>
      </c>
      <c r="G51" s="14">
        <f>COUNTIFS(Entries!$A$2:$A$741,A51,Entries!$B$2:$B$741,B51,Entries!$F$2:$F$741,"No")</f>
        <v/>
      </c>
      <c r="H51" s="14">
        <f>IF(D51=0,"Not graded",IF(E51&gt;0,"Full",IF(F51&gt;0,"Partial","No")))</f>
        <v/>
      </c>
    </row>
    <row r="52" ht="15" customHeight="1" s="7">
      <c r="A52" s="14" t="inlineStr">
        <is>
          <t>Persistence</t>
        </is>
      </c>
      <c r="B52" s="14" t="inlineStr">
        <is>
          <t>T1133</t>
        </is>
      </c>
      <c r="C52" s="14" t="inlineStr">
        <is>
          <t>External Remote Services</t>
        </is>
      </c>
      <c r="D52" s="14">
        <f>COUNTIFS(Entries!$A$2:$A$741,A52,Entries!$B$2:$B$741,B52)</f>
        <v/>
      </c>
      <c r="E52" s="14">
        <f>COUNTIFS(Entries!$A$2:$A$741,A52,Entries!$B$2:$B$741,B52,Entries!$F$2:$F$741,"Full")</f>
        <v/>
      </c>
      <c r="F52" s="14">
        <f>COUNTIFS(Entries!$A$2:$A$741,A52,Entries!$B$2:$B$741,B52,Entries!$F$2:$F$741,"Partial")</f>
        <v/>
      </c>
      <c r="G52" s="14">
        <f>COUNTIFS(Entries!$A$2:$A$741,A52,Entries!$B$2:$B$741,B52,Entries!$F$2:$F$741,"No")</f>
        <v/>
      </c>
      <c r="H52" s="14">
        <f>IF(D52=0,"Not graded",IF(E52&gt;0,"Full",IF(F52&gt;0,"Partial","No")))</f>
        <v/>
      </c>
    </row>
    <row r="53" ht="15" customHeight="1" s="7">
      <c r="A53" s="14" t="inlineStr">
        <is>
          <t>Persistence</t>
        </is>
      </c>
      <c r="B53" s="14" t="inlineStr">
        <is>
          <t>T1136</t>
        </is>
      </c>
      <c r="C53" s="14" t="inlineStr">
        <is>
          <t>Create Account</t>
        </is>
      </c>
      <c r="D53" s="14">
        <f>COUNTIFS(Entries!$A$2:$A$741,A53,Entries!$B$2:$B$741,B53)</f>
        <v/>
      </c>
      <c r="E53" s="14">
        <f>COUNTIFS(Entries!$A$2:$A$741,A53,Entries!$B$2:$B$741,B53,Entries!$F$2:$F$741,"Full")</f>
        <v/>
      </c>
      <c r="F53" s="14">
        <f>COUNTIFS(Entries!$A$2:$A$741,A53,Entries!$B$2:$B$741,B53,Entries!$F$2:$F$741,"Partial")</f>
        <v/>
      </c>
      <c r="G53" s="14">
        <f>COUNTIFS(Entries!$A$2:$A$741,A53,Entries!$B$2:$B$741,B53,Entries!$F$2:$F$741,"No")</f>
        <v/>
      </c>
      <c r="H53" s="14">
        <f>IF(D53=0,"Not graded",IF(E53&gt;0,"Full",IF(F53&gt;0,"Partial","No")))</f>
        <v/>
      </c>
    </row>
    <row r="54" ht="15" customHeight="1" s="7">
      <c r="A54" s="14" t="inlineStr">
        <is>
          <t>Persistence</t>
        </is>
      </c>
      <c r="B54" s="14" t="inlineStr">
        <is>
          <t>T1137</t>
        </is>
      </c>
      <c r="C54" s="14" t="inlineStr">
        <is>
          <t>Office Application Startup</t>
        </is>
      </c>
      <c r="D54" s="14">
        <f>COUNTIFS(Entries!$A$2:$A$741,A54,Entries!$B$2:$B$741,B54)</f>
        <v/>
      </c>
      <c r="E54" s="14">
        <f>COUNTIFS(Entries!$A$2:$A$741,A54,Entries!$B$2:$B$741,B54,Entries!$F$2:$F$741,"Full")</f>
        <v/>
      </c>
      <c r="F54" s="14">
        <f>COUNTIFS(Entries!$A$2:$A$741,A54,Entries!$B$2:$B$741,B54,Entries!$F$2:$F$741,"Partial")</f>
        <v/>
      </c>
      <c r="G54" s="14">
        <f>COUNTIFS(Entries!$A$2:$A$741,A54,Entries!$B$2:$B$741,B54,Entries!$F$2:$F$741,"No")</f>
        <v/>
      </c>
      <c r="H54" s="14">
        <f>IF(D54=0,"Not graded",IF(E54&gt;0,"Full",IF(F54&gt;0,"Partial","No")))</f>
        <v/>
      </c>
    </row>
    <row r="55" ht="15" customHeight="1" s="7">
      <c r="A55" s="14" t="inlineStr">
        <is>
          <t>Persistence</t>
        </is>
      </c>
      <c r="B55" s="14" t="inlineStr">
        <is>
          <t>T1176</t>
        </is>
      </c>
      <c r="C55" s="14" t="inlineStr">
        <is>
          <t>Software Extensions</t>
        </is>
      </c>
      <c r="D55" s="14">
        <f>COUNTIFS(Entries!$A$2:$A$741,A55,Entries!$B$2:$B$741,B55)</f>
        <v/>
      </c>
      <c r="E55" s="14">
        <f>COUNTIFS(Entries!$A$2:$A$741,A55,Entries!$B$2:$B$741,B55,Entries!$F$2:$F$741,"Full")</f>
        <v/>
      </c>
      <c r="F55" s="14">
        <f>COUNTIFS(Entries!$A$2:$A$741,A55,Entries!$B$2:$B$741,B55,Entries!$F$2:$F$741,"Partial")</f>
        <v/>
      </c>
      <c r="G55" s="14">
        <f>COUNTIFS(Entries!$A$2:$A$741,A55,Entries!$B$2:$B$741,B55,Entries!$F$2:$F$741,"No")</f>
        <v/>
      </c>
      <c r="H55" s="14">
        <f>IF(D55=0,"Not graded",IF(E55&gt;0,"Full",IF(F55&gt;0,"Partial","No")))</f>
        <v/>
      </c>
    </row>
    <row r="56" ht="15" customHeight="1" s="7">
      <c r="A56" s="14" t="inlineStr">
        <is>
          <t>Persistence</t>
        </is>
      </c>
      <c r="B56" s="14" t="inlineStr">
        <is>
          <t>T1197</t>
        </is>
      </c>
      <c r="C56" s="14" t="inlineStr">
        <is>
          <t>BITS Jobs</t>
        </is>
      </c>
      <c r="D56" s="14">
        <f>COUNTIFS(Entries!$A$2:$A$741,A56,Entries!$B$2:$B$741,B56)</f>
        <v/>
      </c>
      <c r="E56" s="14">
        <f>COUNTIFS(Entries!$A$2:$A$741,A56,Entries!$B$2:$B$741,B56,Entries!$F$2:$F$741,"Full")</f>
        <v/>
      </c>
      <c r="F56" s="14">
        <f>COUNTIFS(Entries!$A$2:$A$741,A56,Entries!$B$2:$B$741,B56,Entries!$F$2:$F$741,"Partial")</f>
        <v/>
      </c>
      <c r="G56" s="14">
        <f>COUNTIFS(Entries!$A$2:$A$741,A56,Entries!$B$2:$B$741,B56,Entries!$F$2:$F$741,"No")</f>
        <v/>
      </c>
      <c r="H56" s="14">
        <f>IF(D56=0,"Not graded",IF(E56&gt;0,"Full",IF(F56&gt;0,"Partial","No")))</f>
        <v/>
      </c>
    </row>
    <row r="57" ht="15" customHeight="1" s="7">
      <c r="A57" s="14" t="inlineStr">
        <is>
          <t>Persistence</t>
        </is>
      </c>
      <c r="B57" s="14" t="inlineStr">
        <is>
          <t>T1205</t>
        </is>
      </c>
      <c r="C57" s="14" t="inlineStr">
        <is>
          <t>Traffic Signaling</t>
        </is>
      </c>
      <c r="D57" s="14">
        <f>COUNTIFS(Entries!$A$2:$A$741,A57,Entries!$B$2:$B$741,B57)</f>
        <v/>
      </c>
      <c r="E57" s="14">
        <f>COUNTIFS(Entries!$A$2:$A$741,A57,Entries!$B$2:$B$741,B57,Entries!$F$2:$F$741,"Full")</f>
        <v/>
      </c>
      <c r="F57" s="14">
        <f>COUNTIFS(Entries!$A$2:$A$741,A57,Entries!$B$2:$B$741,B57,Entries!$F$2:$F$741,"Partial")</f>
        <v/>
      </c>
      <c r="G57" s="14">
        <f>COUNTIFS(Entries!$A$2:$A$741,A57,Entries!$B$2:$B$741,B57,Entries!$F$2:$F$741,"No")</f>
        <v/>
      </c>
      <c r="H57" s="14">
        <f>IF(D57=0,"Not graded",IF(E57&gt;0,"Full",IF(F57&gt;0,"Partial","No")))</f>
        <v/>
      </c>
    </row>
    <row r="58" ht="15" customHeight="1" s="7">
      <c r="A58" s="14" t="inlineStr">
        <is>
          <t>Persistence</t>
        </is>
      </c>
      <c r="B58" s="14" t="inlineStr">
        <is>
          <t>T1505</t>
        </is>
      </c>
      <c r="C58" s="14" t="inlineStr">
        <is>
          <t>Server Software Component</t>
        </is>
      </c>
      <c r="D58" s="14">
        <f>COUNTIFS(Entries!$A$2:$A$741,A58,Entries!$B$2:$B$741,B58)</f>
        <v/>
      </c>
      <c r="E58" s="14">
        <f>COUNTIFS(Entries!$A$2:$A$741,A58,Entries!$B$2:$B$741,B58,Entries!$F$2:$F$741,"Full")</f>
        <v/>
      </c>
      <c r="F58" s="14">
        <f>COUNTIFS(Entries!$A$2:$A$741,A58,Entries!$B$2:$B$741,B58,Entries!$F$2:$F$741,"Partial")</f>
        <v/>
      </c>
      <c r="G58" s="14">
        <f>COUNTIFS(Entries!$A$2:$A$741,A58,Entries!$B$2:$B$741,B58,Entries!$F$2:$F$741,"No")</f>
        <v/>
      </c>
      <c r="H58" s="14">
        <f>IF(D58=0,"Not graded",IF(E58&gt;0,"Full",IF(F58&gt;0,"Partial","No")))</f>
        <v/>
      </c>
    </row>
    <row r="59" ht="15" customHeight="1" s="7">
      <c r="A59" s="14" t="inlineStr">
        <is>
          <t>Persistence</t>
        </is>
      </c>
      <c r="B59" s="14" t="inlineStr">
        <is>
          <t>T1525</t>
        </is>
      </c>
      <c r="C59" s="14" t="inlineStr">
        <is>
          <t>Implant Internal Image</t>
        </is>
      </c>
      <c r="D59" s="14">
        <f>COUNTIFS(Entries!$A$2:$A$741,A59,Entries!$B$2:$B$741,B59)</f>
        <v/>
      </c>
      <c r="E59" s="14">
        <f>COUNTIFS(Entries!$A$2:$A$741,A59,Entries!$B$2:$B$741,B59,Entries!$F$2:$F$741,"Full")</f>
        <v/>
      </c>
      <c r="F59" s="14">
        <f>COUNTIFS(Entries!$A$2:$A$741,A59,Entries!$B$2:$B$741,B59,Entries!$F$2:$F$741,"Partial")</f>
        <v/>
      </c>
      <c r="G59" s="14">
        <f>COUNTIFS(Entries!$A$2:$A$741,A59,Entries!$B$2:$B$741,B59,Entries!$F$2:$F$741,"No")</f>
        <v/>
      </c>
      <c r="H59" s="14">
        <f>IF(D59=0,"Not graded",IF(E59&gt;0,"Full",IF(F59&gt;0,"Partial","No")))</f>
        <v/>
      </c>
    </row>
    <row r="60" ht="15" customHeight="1" s="7">
      <c r="A60" s="14" t="inlineStr">
        <is>
          <t>Persistence</t>
        </is>
      </c>
      <c r="B60" s="14" t="inlineStr">
        <is>
          <t>T1542</t>
        </is>
      </c>
      <c r="C60" s="14" t="inlineStr">
        <is>
          <t>Pre-OS Boot</t>
        </is>
      </c>
      <c r="D60" s="14">
        <f>COUNTIFS(Entries!$A$2:$A$741,A60,Entries!$B$2:$B$741,B60)</f>
        <v/>
      </c>
      <c r="E60" s="14">
        <f>COUNTIFS(Entries!$A$2:$A$741,A60,Entries!$B$2:$B$741,B60,Entries!$F$2:$F$741,"Full")</f>
        <v/>
      </c>
      <c r="F60" s="14">
        <f>COUNTIFS(Entries!$A$2:$A$741,A60,Entries!$B$2:$B$741,B60,Entries!$F$2:$F$741,"Partial")</f>
        <v/>
      </c>
      <c r="G60" s="14">
        <f>COUNTIFS(Entries!$A$2:$A$741,A60,Entries!$B$2:$B$741,B60,Entries!$F$2:$F$741,"No")</f>
        <v/>
      </c>
      <c r="H60" s="14">
        <f>IF(D60=0,"Not graded",IF(E60&gt;0,"Full",IF(F60&gt;0,"Partial","No")))</f>
        <v/>
      </c>
    </row>
    <row r="61" ht="15" customHeight="1" s="7">
      <c r="A61" s="14" t="inlineStr">
        <is>
          <t>Persistence</t>
        </is>
      </c>
      <c r="B61" s="14" t="inlineStr">
        <is>
          <t>T1543</t>
        </is>
      </c>
      <c r="C61" s="14" t="inlineStr">
        <is>
          <t>Create or Modify System Process</t>
        </is>
      </c>
      <c r="D61" s="14">
        <f>COUNTIFS(Entries!$A$2:$A$741,A61,Entries!$B$2:$B$741,B61)</f>
        <v/>
      </c>
      <c r="E61" s="14">
        <f>COUNTIFS(Entries!$A$2:$A$741,A61,Entries!$B$2:$B$741,B61,Entries!$F$2:$F$741,"Full")</f>
        <v/>
      </c>
      <c r="F61" s="14">
        <f>COUNTIFS(Entries!$A$2:$A$741,A61,Entries!$B$2:$B$741,B61,Entries!$F$2:$F$741,"Partial")</f>
        <v/>
      </c>
      <c r="G61" s="14">
        <f>COUNTIFS(Entries!$A$2:$A$741,A61,Entries!$B$2:$B$741,B61,Entries!$F$2:$F$741,"No")</f>
        <v/>
      </c>
      <c r="H61" s="14">
        <f>IF(D61=0,"Not graded",IF(E61&gt;0,"Full",IF(F61&gt;0,"Partial","No")))</f>
        <v/>
      </c>
    </row>
    <row r="62" ht="15" customHeight="1" s="7">
      <c r="A62" s="14" t="inlineStr">
        <is>
          <t>Persistence</t>
        </is>
      </c>
      <c r="B62" s="14" t="inlineStr">
        <is>
          <t>T1546</t>
        </is>
      </c>
      <c r="C62" s="14" t="inlineStr">
        <is>
          <t>Event Triggered Execution</t>
        </is>
      </c>
      <c r="D62" s="14">
        <f>COUNTIFS(Entries!$A$2:$A$741,A62,Entries!$B$2:$B$741,B62)</f>
        <v/>
      </c>
      <c r="E62" s="14">
        <f>COUNTIFS(Entries!$A$2:$A$741,A62,Entries!$B$2:$B$741,B62,Entries!$F$2:$F$741,"Full")</f>
        <v/>
      </c>
      <c r="F62" s="14">
        <f>COUNTIFS(Entries!$A$2:$A$741,A62,Entries!$B$2:$B$741,B62,Entries!$F$2:$F$741,"Partial")</f>
        <v/>
      </c>
      <c r="G62" s="14">
        <f>COUNTIFS(Entries!$A$2:$A$741,A62,Entries!$B$2:$B$741,B62,Entries!$F$2:$F$741,"No")</f>
        <v/>
      </c>
      <c r="H62" s="14">
        <f>IF(D62=0,"Not graded",IF(E62&gt;0,"Full",IF(F62&gt;0,"Partial","No")))</f>
        <v/>
      </c>
    </row>
    <row r="63" ht="15" customHeight="1" s="7">
      <c r="A63" s="14" t="inlineStr">
        <is>
          <t>Persistence</t>
        </is>
      </c>
      <c r="B63" s="14" t="inlineStr">
        <is>
          <t>T1547</t>
        </is>
      </c>
      <c r="C63" s="14" t="inlineStr">
        <is>
          <t>Boot or Logon Autostart Execution</t>
        </is>
      </c>
      <c r="D63" s="14">
        <f>COUNTIFS(Entries!$A$2:$A$741,A63,Entries!$B$2:$B$741,B63)</f>
        <v/>
      </c>
      <c r="E63" s="14">
        <f>COUNTIFS(Entries!$A$2:$A$741,A63,Entries!$B$2:$B$741,B63,Entries!$F$2:$F$741,"Full")</f>
        <v/>
      </c>
      <c r="F63" s="14">
        <f>COUNTIFS(Entries!$A$2:$A$741,A63,Entries!$B$2:$B$741,B63,Entries!$F$2:$F$741,"Partial")</f>
        <v/>
      </c>
      <c r="G63" s="14">
        <f>COUNTIFS(Entries!$A$2:$A$741,A63,Entries!$B$2:$B$741,B63,Entries!$F$2:$F$741,"No")</f>
        <v/>
      </c>
      <c r="H63" s="14">
        <f>IF(D63=0,"Not graded",IF(E63&gt;0,"Full",IF(F63&gt;0,"Partial","No")))</f>
        <v/>
      </c>
    </row>
    <row r="64" ht="15" customHeight="1" s="7">
      <c r="A64" s="14" t="inlineStr">
        <is>
          <t>Persistence</t>
        </is>
      </c>
      <c r="B64" s="14" t="inlineStr">
        <is>
          <t>T1554</t>
        </is>
      </c>
      <c r="C64" s="14" t="inlineStr">
        <is>
          <t>Compromise Host Software Binary</t>
        </is>
      </c>
      <c r="D64" s="14">
        <f>COUNTIFS(Entries!$A$2:$A$741,A64,Entries!$B$2:$B$741,B64)</f>
        <v/>
      </c>
      <c r="E64" s="14">
        <f>COUNTIFS(Entries!$A$2:$A$741,A64,Entries!$B$2:$B$741,B64,Entries!$F$2:$F$741,"Full")</f>
        <v/>
      </c>
      <c r="F64" s="14">
        <f>COUNTIFS(Entries!$A$2:$A$741,A64,Entries!$B$2:$B$741,B64,Entries!$F$2:$F$741,"Partial")</f>
        <v/>
      </c>
      <c r="G64" s="14">
        <f>COUNTIFS(Entries!$A$2:$A$741,A64,Entries!$B$2:$B$741,B64,Entries!$F$2:$F$741,"No")</f>
        <v/>
      </c>
      <c r="H64" s="14">
        <f>IF(D64=0,"Not graded",IF(E64&gt;0,"Full",IF(F64&gt;0,"Partial","No")))</f>
        <v/>
      </c>
    </row>
    <row r="65" ht="15" customHeight="1" s="7">
      <c r="A65" s="14" t="inlineStr">
        <is>
          <t>Persistence</t>
        </is>
      </c>
      <c r="B65" s="14" t="inlineStr">
        <is>
          <t>T1556</t>
        </is>
      </c>
      <c r="C65" s="14" t="inlineStr">
        <is>
          <t>Modify Authentication Process</t>
        </is>
      </c>
      <c r="D65" s="14">
        <f>COUNTIFS(Entries!$A$2:$A$741,A65,Entries!$B$2:$B$741,B65)</f>
        <v/>
      </c>
      <c r="E65" s="14">
        <f>COUNTIFS(Entries!$A$2:$A$741,A65,Entries!$B$2:$B$741,B65,Entries!$F$2:$F$741,"Full")</f>
        <v/>
      </c>
      <c r="F65" s="14">
        <f>COUNTIFS(Entries!$A$2:$A$741,A65,Entries!$B$2:$B$741,B65,Entries!$F$2:$F$741,"Partial")</f>
        <v/>
      </c>
      <c r="G65" s="14">
        <f>COUNTIFS(Entries!$A$2:$A$741,A65,Entries!$B$2:$B$741,B65,Entries!$F$2:$F$741,"No")</f>
        <v/>
      </c>
      <c r="H65" s="14">
        <f>IF(D65=0,"Not graded",IF(E65&gt;0,"Full",IF(F65&gt;0,"Partial","No")))</f>
        <v/>
      </c>
    </row>
    <row r="66" ht="15" customHeight="1" s="7">
      <c r="A66" s="14" t="inlineStr">
        <is>
          <t>Persistence</t>
        </is>
      </c>
      <c r="B66" s="14" t="inlineStr">
        <is>
          <t>T1574</t>
        </is>
      </c>
      <c r="C66" s="14" t="inlineStr">
        <is>
          <t>Hijack Execution Flow</t>
        </is>
      </c>
      <c r="D66" s="14">
        <f>COUNTIFS(Entries!$A$2:$A$741,A66,Entries!$B$2:$B$741,B66)</f>
        <v/>
      </c>
      <c r="E66" s="14">
        <f>COUNTIFS(Entries!$A$2:$A$741,A66,Entries!$B$2:$B$741,B66,Entries!$F$2:$F$741,"Full")</f>
        <v/>
      </c>
      <c r="F66" s="14">
        <f>COUNTIFS(Entries!$A$2:$A$741,A66,Entries!$B$2:$B$741,B66,Entries!$F$2:$F$741,"Partial")</f>
        <v/>
      </c>
      <c r="G66" s="14">
        <f>COUNTIFS(Entries!$A$2:$A$741,A66,Entries!$B$2:$B$741,B66,Entries!$F$2:$F$741,"No")</f>
        <v/>
      </c>
      <c r="H66" s="14">
        <f>IF(D66=0,"Not graded",IF(E66&gt;0,"Full",IF(F66&gt;0,"Partial","No")))</f>
        <v/>
      </c>
    </row>
    <row r="67" ht="15" customHeight="1" s="7">
      <c r="A67" s="14" t="inlineStr">
        <is>
          <t>Persistence</t>
        </is>
      </c>
      <c r="B67" s="14" t="inlineStr">
        <is>
          <t>T1653</t>
        </is>
      </c>
      <c r="C67" s="14" t="inlineStr">
        <is>
          <t>Power Settings</t>
        </is>
      </c>
      <c r="D67" s="14">
        <f>COUNTIFS(Entries!$A$2:$A$741,A67,Entries!$B$2:$B$741,B67)</f>
        <v/>
      </c>
      <c r="E67" s="14">
        <f>COUNTIFS(Entries!$A$2:$A$741,A67,Entries!$B$2:$B$741,B67,Entries!$F$2:$F$741,"Full")</f>
        <v/>
      </c>
      <c r="F67" s="14">
        <f>COUNTIFS(Entries!$A$2:$A$741,A67,Entries!$B$2:$B$741,B67,Entries!$F$2:$F$741,"Partial")</f>
        <v/>
      </c>
      <c r="G67" s="14">
        <f>COUNTIFS(Entries!$A$2:$A$741,A67,Entries!$B$2:$B$741,B67,Entries!$F$2:$F$741,"No")</f>
        <v/>
      </c>
      <c r="H67" s="14">
        <f>IF(D67=0,"Not graded",IF(E67&gt;0,"Full",IF(F67&gt;0,"Partial","No")))</f>
        <v/>
      </c>
    </row>
    <row r="68" ht="15" customHeight="1" s="7">
      <c r="A68" s="14" t="inlineStr">
        <is>
          <t>Persistence</t>
        </is>
      </c>
      <c r="B68" s="14" t="inlineStr">
        <is>
          <t>T1668</t>
        </is>
      </c>
      <c r="C68" s="14" t="inlineStr">
        <is>
          <t>Exclusive Control</t>
        </is>
      </c>
      <c r="D68" s="14">
        <f>COUNTIFS(Entries!$A$2:$A$741,A68,Entries!$B$2:$B$741,B68)</f>
        <v/>
      </c>
      <c r="E68" s="14">
        <f>COUNTIFS(Entries!$A$2:$A$741,A68,Entries!$B$2:$B$741,B68,Entries!$F$2:$F$741,"Full")</f>
        <v/>
      </c>
      <c r="F68" s="14">
        <f>COUNTIFS(Entries!$A$2:$A$741,A68,Entries!$B$2:$B$741,B68,Entries!$F$2:$F$741,"Partial")</f>
        <v/>
      </c>
      <c r="G68" s="14">
        <f>COUNTIFS(Entries!$A$2:$A$741,A68,Entries!$B$2:$B$741,B68,Entries!$F$2:$F$741,"No")</f>
        <v/>
      </c>
      <c r="H68" s="14">
        <f>IF(D68=0,"Not graded",IF(E68&gt;0,"Full",IF(F68&gt;0,"Partial","No")))</f>
        <v/>
      </c>
    </row>
    <row r="69" ht="15" customHeight="1" s="7">
      <c r="A69" s="14" t="inlineStr">
        <is>
          <t>Persistence</t>
        </is>
      </c>
      <c r="B69" s="14" t="inlineStr">
        <is>
          <t>T1671</t>
        </is>
      </c>
      <c r="C69" s="14" t="inlineStr">
        <is>
          <t>Cloud Application Integration</t>
        </is>
      </c>
      <c r="D69" s="14">
        <f>COUNTIFS(Entries!$A$2:$A$741,A69,Entries!$B$2:$B$741,B69)</f>
        <v/>
      </c>
      <c r="E69" s="14">
        <f>COUNTIFS(Entries!$A$2:$A$741,A69,Entries!$B$2:$B$741,B69,Entries!$F$2:$F$741,"Full")</f>
        <v/>
      </c>
      <c r="F69" s="14">
        <f>COUNTIFS(Entries!$A$2:$A$741,A69,Entries!$B$2:$B$741,B69,Entries!$F$2:$F$741,"Partial")</f>
        <v/>
      </c>
      <c r="G69" s="14">
        <f>COUNTIFS(Entries!$A$2:$A$741,A69,Entries!$B$2:$B$741,B69,Entries!$F$2:$F$741,"No")</f>
        <v/>
      </c>
      <c r="H69" s="14">
        <f>IF(D69=0,"Not graded",IF(E69&gt;0,"Full",IF(F69&gt;0,"Partial","No")))</f>
        <v/>
      </c>
    </row>
    <row r="70" ht="15" customHeight="1" s="7">
      <c r="A70" s="14" t="inlineStr">
        <is>
          <t>Privilege Escalation</t>
        </is>
      </c>
      <c r="B70" s="14" t="inlineStr">
        <is>
          <t>T1037</t>
        </is>
      </c>
      <c r="C70" s="14" t="inlineStr">
        <is>
          <t>Boot or Logon Initialization Scripts</t>
        </is>
      </c>
      <c r="D70" s="14">
        <f>COUNTIFS(Entries!$A$2:$A$741,A70,Entries!$B$2:$B$741,B70)</f>
        <v/>
      </c>
      <c r="E70" s="14">
        <f>COUNTIFS(Entries!$A$2:$A$741,A70,Entries!$B$2:$B$741,B70,Entries!$F$2:$F$741,"Full")</f>
        <v/>
      </c>
      <c r="F70" s="14">
        <f>COUNTIFS(Entries!$A$2:$A$741,A70,Entries!$B$2:$B$741,B70,Entries!$F$2:$F$741,"Partial")</f>
        <v/>
      </c>
      <c r="G70" s="14">
        <f>COUNTIFS(Entries!$A$2:$A$741,A70,Entries!$B$2:$B$741,B70,Entries!$F$2:$F$741,"No")</f>
        <v/>
      </c>
      <c r="H70" s="14">
        <f>IF(D70=0,"Not graded",IF(E70&gt;0,"Full",IF(F70&gt;0,"Partial","No")))</f>
        <v/>
      </c>
    </row>
    <row r="71" ht="15" customHeight="1" s="7">
      <c r="A71" s="14" t="inlineStr">
        <is>
          <t>Privilege Escalation</t>
        </is>
      </c>
      <c r="B71" s="14" t="inlineStr">
        <is>
          <t>T1053</t>
        </is>
      </c>
      <c r="C71" s="14" t="inlineStr">
        <is>
          <t>Scheduled Task/Job</t>
        </is>
      </c>
      <c r="D71" s="14">
        <f>COUNTIFS(Entries!$A$2:$A$741,A71,Entries!$B$2:$B$741,B71)</f>
        <v/>
      </c>
      <c r="E71" s="14">
        <f>COUNTIFS(Entries!$A$2:$A$741,A71,Entries!$B$2:$B$741,B71,Entries!$F$2:$F$741,"Full")</f>
        <v/>
      </c>
      <c r="F71" s="14">
        <f>COUNTIFS(Entries!$A$2:$A$741,A71,Entries!$B$2:$B$741,B71,Entries!$F$2:$F$741,"Partial")</f>
        <v/>
      </c>
      <c r="G71" s="14">
        <f>COUNTIFS(Entries!$A$2:$A$741,A71,Entries!$B$2:$B$741,B71,Entries!$F$2:$F$741,"No")</f>
        <v/>
      </c>
      <c r="H71" s="14">
        <f>IF(D71=0,"Not graded",IF(E71&gt;0,"Full",IF(F71&gt;0,"Partial","No")))</f>
        <v/>
      </c>
    </row>
    <row r="72" ht="15" customHeight="1" s="7">
      <c r="A72" s="14" t="inlineStr">
        <is>
          <t>Privilege Escalation</t>
        </is>
      </c>
      <c r="B72" s="14" t="inlineStr">
        <is>
          <t>T1055</t>
        </is>
      </c>
      <c r="C72" s="14" t="inlineStr">
        <is>
          <t>Process Injection</t>
        </is>
      </c>
      <c r="D72" s="14">
        <f>COUNTIFS(Entries!$A$2:$A$741,A72,Entries!$B$2:$B$741,B72)</f>
        <v/>
      </c>
      <c r="E72" s="14">
        <f>COUNTIFS(Entries!$A$2:$A$741,A72,Entries!$B$2:$B$741,B72,Entries!$F$2:$F$741,"Full")</f>
        <v/>
      </c>
      <c r="F72" s="14">
        <f>COUNTIFS(Entries!$A$2:$A$741,A72,Entries!$B$2:$B$741,B72,Entries!$F$2:$F$741,"Partial")</f>
        <v/>
      </c>
      <c r="G72" s="14">
        <f>COUNTIFS(Entries!$A$2:$A$741,A72,Entries!$B$2:$B$741,B72,Entries!$F$2:$F$741,"No")</f>
        <v/>
      </c>
      <c r="H72" s="14">
        <f>IF(D72=0,"Not graded",IF(E72&gt;0,"Full",IF(F72&gt;0,"Partial","No")))</f>
        <v/>
      </c>
    </row>
    <row r="73" ht="15" customHeight="1" s="7">
      <c r="A73" s="14" t="inlineStr">
        <is>
          <t>Privilege Escalation</t>
        </is>
      </c>
      <c r="B73" s="14" t="inlineStr">
        <is>
          <t>T1068</t>
        </is>
      </c>
      <c r="C73" s="14" t="inlineStr">
        <is>
          <t>Exploitation for Privilege Escalation</t>
        </is>
      </c>
      <c r="D73" s="14">
        <f>COUNTIFS(Entries!$A$2:$A$741,A73,Entries!$B$2:$B$741,B73)</f>
        <v/>
      </c>
      <c r="E73" s="14">
        <f>COUNTIFS(Entries!$A$2:$A$741,A73,Entries!$B$2:$B$741,B73,Entries!$F$2:$F$741,"Full")</f>
        <v/>
      </c>
      <c r="F73" s="14">
        <f>COUNTIFS(Entries!$A$2:$A$741,A73,Entries!$B$2:$B$741,B73,Entries!$F$2:$F$741,"Partial")</f>
        <v/>
      </c>
      <c r="G73" s="14">
        <f>COUNTIFS(Entries!$A$2:$A$741,A73,Entries!$B$2:$B$741,B73,Entries!$F$2:$F$741,"No")</f>
        <v/>
      </c>
      <c r="H73" s="14">
        <f>IF(D73=0,"Not graded",IF(E73&gt;0,"Full",IF(F73&gt;0,"Partial","No")))</f>
        <v/>
      </c>
    </row>
    <row r="74" ht="15" customHeight="1" s="7">
      <c r="A74" s="14" t="inlineStr">
        <is>
          <t>Privilege Escalation</t>
        </is>
      </c>
      <c r="B74" s="14" t="inlineStr">
        <is>
          <t>T1078</t>
        </is>
      </c>
      <c r="C74" s="14" t="inlineStr">
        <is>
          <t>Valid Accounts</t>
        </is>
      </c>
      <c r="D74" s="14">
        <f>COUNTIFS(Entries!$A$2:$A$741,A74,Entries!$B$2:$B$741,B74)</f>
        <v/>
      </c>
      <c r="E74" s="14">
        <f>COUNTIFS(Entries!$A$2:$A$741,A74,Entries!$B$2:$B$741,B74,Entries!$F$2:$F$741,"Full")</f>
        <v/>
      </c>
      <c r="F74" s="14">
        <f>COUNTIFS(Entries!$A$2:$A$741,A74,Entries!$B$2:$B$741,B74,Entries!$F$2:$F$741,"Partial")</f>
        <v/>
      </c>
      <c r="G74" s="14">
        <f>COUNTIFS(Entries!$A$2:$A$741,A74,Entries!$B$2:$B$741,B74,Entries!$F$2:$F$741,"No")</f>
        <v/>
      </c>
      <c r="H74" s="14">
        <f>IF(D74=0,"Not graded",IF(E74&gt;0,"Full",IF(F74&gt;0,"Partial","No")))</f>
        <v/>
      </c>
    </row>
    <row r="75" ht="15" customHeight="1" s="7">
      <c r="A75" s="14" t="inlineStr">
        <is>
          <t>Privilege Escalation</t>
        </is>
      </c>
      <c r="B75" s="14" t="inlineStr">
        <is>
          <t>T1098</t>
        </is>
      </c>
      <c r="C75" s="14" t="inlineStr">
        <is>
          <t>Account Manipulation</t>
        </is>
      </c>
      <c r="D75" s="14">
        <f>COUNTIFS(Entries!$A$2:$A$741,A75,Entries!$B$2:$B$741,B75)</f>
        <v/>
      </c>
      <c r="E75" s="14">
        <f>COUNTIFS(Entries!$A$2:$A$741,A75,Entries!$B$2:$B$741,B75,Entries!$F$2:$F$741,"Full")</f>
        <v/>
      </c>
      <c r="F75" s="14">
        <f>COUNTIFS(Entries!$A$2:$A$741,A75,Entries!$B$2:$B$741,B75,Entries!$F$2:$F$741,"Partial")</f>
        <v/>
      </c>
      <c r="G75" s="14">
        <f>COUNTIFS(Entries!$A$2:$A$741,A75,Entries!$B$2:$B$741,B75,Entries!$F$2:$F$741,"No")</f>
        <v/>
      </c>
      <c r="H75" s="14">
        <f>IF(D75=0,"Not graded",IF(E75&gt;0,"Full",IF(F75&gt;0,"Partial","No")))</f>
        <v/>
      </c>
    </row>
    <row r="76" ht="15" customHeight="1" s="7">
      <c r="A76" s="14" t="inlineStr">
        <is>
          <t>Privilege Escalation</t>
        </is>
      </c>
      <c r="B76" s="14" t="inlineStr">
        <is>
          <t>T1134</t>
        </is>
      </c>
      <c r="C76" s="14" t="inlineStr">
        <is>
          <t>Access Token Manipulation</t>
        </is>
      </c>
      <c r="D76" s="14">
        <f>COUNTIFS(Entries!$A$2:$A$741,A76,Entries!$B$2:$B$741,B76)</f>
        <v/>
      </c>
      <c r="E76" s="14">
        <f>COUNTIFS(Entries!$A$2:$A$741,A76,Entries!$B$2:$B$741,B76,Entries!$F$2:$F$741,"Full")</f>
        <v/>
      </c>
      <c r="F76" s="14">
        <f>COUNTIFS(Entries!$A$2:$A$741,A76,Entries!$B$2:$B$741,B76,Entries!$F$2:$F$741,"Partial")</f>
        <v/>
      </c>
      <c r="G76" s="14">
        <f>COUNTIFS(Entries!$A$2:$A$741,A76,Entries!$B$2:$B$741,B76,Entries!$F$2:$F$741,"No")</f>
        <v/>
      </c>
      <c r="H76" s="14">
        <f>IF(D76=0,"Not graded",IF(E76&gt;0,"Full",IF(F76&gt;0,"Partial","No")))</f>
        <v/>
      </c>
    </row>
    <row r="77" ht="15" customHeight="1" s="7">
      <c r="A77" s="14" t="inlineStr">
        <is>
          <t>Privilege Escalation</t>
        </is>
      </c>
      <c r="B77" s="14" t="inlineStr">
        <is>
          <t>T1484</t>
        </is>
      </c>
      <c r="C77" s="14" t="inlineStr">
        <is>
          <t>Domain or Tenant Policy Modification</t>
        </is>
      </c>
      <c r="D77" s="14">
        <f>COUNTIFS(Entries!$A$2:$A$741,A77,Entries!$B$2:$B$741,B77)</f>
        <v/>
      </c>
      <c r="E77" s="14">
        <f>COUNTIFS(Entries!$A$2:$A$741,A77,Entries!$B$2:$B$741,B77,Entries!$F$2:$F$741,"Full")</f>
        <v/>
      </c>
      <c r="F77" s="14">
        <f>COUNTIFS(Entries!$A$2:$A$741,A77,Entries!$B$2:$B$741,B77,Entries!$F$2:$F$741,"Partial")</f>
        <v/>
      </c>
      <c r="G77" s="14">
        <f>COUNTIFS(Entries!$A$2:$A$741,A77,Entries!$B$2:$B$741,B77,Entries!$F$2:$F$741,"No")</f>
        <v/>
      </c>
      <c r="H77" s="14">
        <f>IF(D77=0,"Not graded",IF(E77&gt;0,"Full",IF(F77&gt;0,"Partial","No")))</f>
        <v/>
      </c>
    </row>
    <row r="78" ht="15" customHeight="1" s="7">
      <c r="A78" s="14" t="inlineStr">
        <is>
          <t>Privilege Escalation</t>
        </is>
      </c>
      <c r="B78" s="14" t="inlineStr">
        <is>
          <t>T1543</t>
        </is>
      </c>
      <c r="C78" s="14" t="inlineStr">
        <is>
          <t>Create or Modify System Process</t>
        </is>
      </c>
      <c r="D78" s="14">
        <f>COUNTIFS(Entries!$A$2:$A$741,A78,Entries!$B$2:$B$741,B78)</f>
        <v/>
      </c>
      <c r="E78" s="14">
        <f>COUNTIFS(Entries!$A$2:$A$741,A78,Entries!$B$2:$B$741,B78,Entries!$F$2:$F$741,"Full")</f>
        <v/>
      </c>
      <c r="F78" s="14">
        <f>COUNTIFS(Entries!$A$2:$A$741,A78,Entries!$B$2:$B$741,B78,Entries!$F$2:$F$741,"Partial")</f>
        <v/>
      </c>
      <c r="G78" s="14">
        <f>COUNTIFS(Entries!$A$2:$A$741,A78,Entries!$B$2:$B$741,B78,Entries!$F$2:$F$741,"No")</f>
        <v/>
      </c>
      <c r="H78" s="14">
        <f>IF(D78=0,"Not graded",IF(E78&gt;0,"Full",IF(F78&gt;0,"Partial","No")))</f>
        <v/>
      </c>
    </row>
    <row r="79" ht="15" customHeight="1" s="7">
      <c r="A79" s="14" t="inlineStr">
        <is>
          <t>Privilege Escalation</t>
        </is>
      </c>
      <c r="B79" s="14" t="inlineStr">
        <is>
          <t>T1546</t>
        </is>
      </c>
      <c r="C79" s="14" t="inlineStr">
        <is>
          <t>Event Triggered Execution</t>
        </is>
      </c>
      <c r="D79" s="14">
        <f>COUNTIFS(Entries!$A$2:$A$741,A79,Entries!$B$2:$B$741,B79)</f>
        <v/>
      </c>
      <c r="E79" s="14">
        <f>COUNTIFS(Entries!$A$2:$A$741,A79,Entries!$B$2:$B$741,B79,Entries!$F$2:$F$741,"Full")</f>
        <v/>
      </c>
      <c r="F79" s="14">
        <f>COUNTIFS(Entries!$A$2:$A$741,A79,Entries!$B$2:$B$741,B79,Entries!$F$2:$F$741,"Partial")</f>
        <v/>
      </c>
      <c r="G79" s="14">
        <f>COUNTIFS(Entries!$A$2:$A$741,A79,Entries!$B$2:$B$741,B79,Entries!$F$2:$F$741,"No")</f>
        <v/>
      </c>
      <c r="H79" s="14">
        <f>IF(D79=0,"Not graded",IF(E79&gt;0,"Full",IF(F79&gt;0,"Partial","No")))</f>
        <v/>
      </c>
    </row>
    <row r="80" ht="15" customHeight="1" s="7">
      <c r="A80" s="14" t="inlineStr">
        <is>
          <t>Privilege Escalation</t>
        </is>
      </c>
      <c r="B80" s="14" t="inlineStr">
        <is>
          <t>T1547</t>
        </is>
      </c>
      <c r="C80" s="14" t="inlineStr">
        <is>
          <t>Boot or Logon Autostart Execution</t>
        </is>
      </c>
      <c r="D80" s="14">
        <f>COUNTIFS(Entries!$A$2:$A$741,A80,Entries!$B$2:$B$741,B80)</f>
        <v/>
      </c>
      <c r="E80" s="14">
        <f>COUNTIFS(Entries!$A$2:$A$741,A80,Entries!$B$2:$B$741,B80,Entries!$F$2:$F$741,"Full")</f>
        <v/>
      </c>
      <c r="F80" s="14">
        <f>COUNTIFS(Entries!$A$2:$A$741,A80,Entries!$B$2:$B$741,B80,Entries!$F$2:$F$741,"Partial")</f>
        <v/>
      </c>
      <c r="G80" s="14">
        <f>COUNTIFS(Entries!$A$2:$A$741,A80,Entries!$B$2:$B$741,B80,Entries!$F$2:$F$741,"No")</f>
        <v/>
      </c>
      <c r="H80" s="14">
        <f>IF(D80=0,"Not graded",IF(E80&gt;0,"Full",IF(F80&gt;0,"Partial","No")))</f>
        <v/>
      </c>
    </row>
    <row r="81" ht="15" customHeight="1" s="7">
      <c r="A81" s="14" t="inlineStr">
        <is>
          <t>Privilege Escalation</t>
        </is>
      </c>
      <c r="B81" s="14" t="inlineStr">
        <is>
          <t>T1548</t>
        </is>
      </c>
      <c r="C81" s="14" t="inlineStr">
        <is>
          <t>Abuse Elevation Control Mechanism</t>
        </is>
      </c>
      <c r="D81" s="14">
        <f>COUNTIFS(Entries!$A$2:$A$741,A81,Entries!$B$2:$B$741,B81)</f>
        <v/>
      </c>
      <c r="E81" s="14">
        <f>COUNTIFS(Entries!$A$2:$A$741,A81,Entries!$B$2:$B$741,B81,Entries!$F$2:$F$741,"Full")</f>
        <v/>
      </c>
      <c r="F81" s="14">
        <f>COUNTIFS(Entries!$A$2:$A$741,A81,Entries!$B$2:$B$741,B81,Entries!$F$2:$F$741,"Partial")</f>
        <v/>
      </c>
      <c r="G81" s="14">
        <f>COUNTIFS(Entries!$A$2:$A$741,A81,Entries!$B$2:$B$741,B81,Entries!$F$2:$F$741,"No")</f>
        <v/>
      </c>
      <c r="H81" s="14">
        <f>IF(D81=0,"Not graded",IF(E81&gt;0,"Full",IF(F81&gt;0,"Partial","No")))</f>
        <v/>
      </c>
    </row>
    <row r="82" ht="15" customHeight="1" s="7">
      <c r="A82" s="14" t="inlineStr">
        <is>
          <t>Privilege Escalation</t>
        </is>
      </c>
      <c r="B82" s="14" t="inlineStr">
        <is>
          <t>T1574</t>
        </is>
      </c>
      <c r="C82" s="14" t="inlineStr">
        <is>
          <t>Hijack Execution Flow</t>
        </is>
      </c>
      <c r="D82" s="14">
        <f>COUNTIFS(Entries!$A$2:$A$741,A82,Entries!$B$2:$B$741,B82)</f>
        <v/>
      </c>
      <c r="E82" s="14">
        <f>COUNTIFS(Entries!$A$2:$A$741,A82,Entries!$B$2:$B$741,B82,Entries!$F$2:$F$741,"Full")</f>
        <v/>
      </c>
      <c r="F82" s="14">
        <f>COUNTIFS(Entries!$A$2:$A$741,A82,Entries!$B$2:$B$741,B82,Entries!$F$2:$F$741,"Partial")</f>
        <v/>
      </c>
      <c r="G82" s="14">
        <f>COUNTIFS(Entries!$A$2:$A$741,A82,Entries!$B$2:$B$741,B82,Entries!$F$2:$F$741,"No")</f>
        <v/>
      </c>
      <c r="H82" s="14">
        <f>IF(D82=0,"Not graded",IF(E82&gt;0,"Full",IF(F82&gt;0,"Partial","No")))</f>
        <v/>
      </c>
    </row>
    <row r="83" ht="15" customHeight="1" s="7">
      <c r="A83" s="14" t="inlineStr">
        <is>
          <t>Privilege Escalation</t>
        </is>
      </c>
      <c r="B83" s="14" t="inlineStr">
        <is>
          <t>T1611</t>
        </is>
      </c>
      <c r="C83" s="14" t="inlineStr">
        <is>
          <t>Escape to Host</t>
        </is>
      </c>
      <c r="D83" s="14">
        <f>COUNTIFS(Entries!$A$2:$A$741,A83,Entries!$B$2:$B$741,B83)</f>
        <v/>
      </c>
      <c r="E83" s="14">
        <f>COUNTIFS(Entries!$A$2:$A$741,A83,Entries!$B$2:$B$741,B83,Entries!$F$2:$F$741,"Full")</f>
        <v/>
      </c>
      <c r="F83" s="14">
        <f>COUNTIFS(Entries!$A$2:$A$741,A83,Entries!$B$2:$B$741,B83,Entries!$F$2:$F$741,"Partial")</f>
        <v/>
      </c>
      <c r="G83" s="14">
        <f>COUNTIFS(Entries!$A$2:$A$741,A83,Entries!$B$2:$B$741,B83,Entries!$F$2:$F$741,"No")</f>
        <v/>
      </c>
      <c r="H83" s="14">
        <f>IF(D83=0,"Not graded",IF(E83&gt;0,"Full",IF(F83&gt;0,"Partial","No")))</f>
        <v/>
      </c>
    </row>
    <row r="84" ht="15" customHeight="1" s="7">
      <c r="A84" s="14" t="inlineStr">
        <is>
          <t>Credential Access</t>
        </is>
      </c>
      <c r="B84" s="14" t="inlineStr">
        <is>
          <t>T1003</t>
        </is>
      </c>
      <c r="C84" s="14" t="inlineStr">
        <is>
          <t>OS Credential Dumping</t>
        </is>
      </c>
      <c r="D84" s="14">
        <f>COUNTIFS(Entries!$A$2:$A$741,A84,Entries!$B$2:$B$741,B84)</f>
        <v/>
      </c>
      <c r="E84" s="14">
        <f>COUNTIFS(Entries!$A$2:$A$741,A84,Entries!$B$2:$B$741,B84,Entries!$F$2:$F$741,"Full")</f>
        <v/>
      </c>
      <c r="F84" s="14">
        <f>COUNTIFS(Entries!$A$2:$A$741,A84,Entries!$B$2:$B$741,B84,Entries!$F$2:$F$741,"Partial")</f>
        <v/>
      </c>
      <c r="G84" s="14">
        <f>COUNTIFS(Entries!$A$2:$A$741,A84,Entries!$B$2:$B$741,B84,Entries!$F$2:$F$741,"No")</f>
        <v/>
      </c>
      <c r="H84" s="14">
        <f>IF(D84=0,"Not graded",IF(E84&gt;0,"Full",IF(F84&gt;0,"Partial","No")))</f>
        <v/>
      </c>
    </row>
    <row r="85" ht="15" customHeight="1" s="7">
      <c r="A85" s="14" t="inlineStr">
        <is>
          <t>Credential Access</t>
        </is>
      </c>
      <c r="B85" s="14" t="inlineStr">
        <is>
          <t>T1040</t>
        </is>
      </c>
      <c r="C85" s="14" t="inlineStr">
        <is>
          <t>Network Sniffing</t>
        </is>
      </c>
      <c r="D85" s="14">
        <f>COUNTIFS(Entries!$A$2:$A$741,A85,Entries!$B$2:$B$741,B85)</f>
        <v/>
      </c>
      <c r="E85" s="14">
        <f>COUNTIFS(Entries!$A$2:$A$741,A85,Entries!$B$2:$B$741,B85,Entries!$F$2:$F$741,"Full")</f>
        <v/>
      </c>
      <c r="F85" s="14">
        <f>COUNTIFS(Entries!$A$2:$A$741,A85,Entries!$B$2:$B$741,B85,Entries!$F$2:$F$741,"Partial")</f>
        <v/>
      </c>
      <c r="G85" s="14">
        <f>COUNTIFS(Entries!$A$2:$A$741,A85,Entries!$B$2:$B$741,B85,Entries!$F$2:$F$741,"No")</f>
        <v/>
      </c>
      <c r="H85" s="14">
        <f>IF(D85=0,"Not graded",IF(E85&gt;0,"Full",IF(F85&gt;0,"Partial","No")))</f>
        <v/>
      </c>
    </row>
    <row r="86" ht="15" customHeight="1" s="7">
      <c r="A86" s="14" t="inlineStr">
        <is>
          <t>Credential Access</t>
        </is>
      </c>
      <c r="B86" s="14" t="inlineStr">
        <is>
          <t>T1056</t>
        </is>
      </c>
      <c r="C86" s="14" t="inlineStr">
        <is>
          <t>Input Capture</t>
        </is>
      </c>
      <c r="D86" s="14">
        <f>COUNTIFS(Entries!$A$2:$A$741,A86,Entries!$B$2:$B$741,B86)</f>
        <v/>
      </c>
      <c r="E86" s="14">
        <f>COUNTIFS(Entries!$A$2:$A$741,A86,Entries!$B$2:$B$741,B86,Entries!$F$2:$F$741,"Full")</f>
        <v/>
      </c>
      <c r="F86" s="14">
        <f>COUNTIFS(Entries!$A$2:$A$741,A86,Entries!$B$2:$B$741,B86,Entries!$F$2:$F$741,"Partial")</f>
        <v/>
      </c>
      <c r="G86" s="14">
        <f>COUNTIFS(Entries!$A$2:$A$741,A86,Entries!$B$2:$B$741,B86,Entries!$F$2:$F$741,"No")</f>
        <v/>
      </c>
      <c r="H86" s="14">
        <f>IF(D86=0,"Not graded",IF(E86&gt;0,"Full",IF(F86&gt;0,"Partial","No")))</f>
        <v/>
      </c>
    </row>
    <row r="87" ht="15" customHeight="1" s="7">
      <c r="A87" s="14" t="inlineStr">
        <is>
          <t>Credential Access</t>
        </is>
      </c>
      <c r="B87" s="14" t="inlineStr">
        <is>
          <t>T1110</t>
        </is>
      </c>
      <c r="C87" s="14" t="inlineStr">
        <is>
          <t>Brute Force</t>
        </is>
      </c>
      <c r="D87" s="14">
        <f>COUNTIFS(Entries!$A$2:$A$741,A87,Entries!$B$2:$B$741,B87)</f>
        <v/>
      </c>
      <c r="E87" s="14">
        <f>COUNTIFS(Entries!$A$2:$A$741,A87,Entries!$B$2:$B$741,B87,Entries!$F$2:$F$741,"Full")</f>
        <v/>
      </c>
      <c r="F87" s="14">
        <f>COUNTIFS(Entries!$A$2:$A$741,A87,Entries!$B$2:$B$741,B87,Entries!$F$2:$F$741,"Partial")</f>
        <v/>
      </c>
      <c r="G87" s="14">
        <f>COUNTIFS(Entries!$A$2:$A$741,A87,Entries!$B$2:$B$741,B87,Entries!$F$2:$F$741,"No")</f>
        <v/>
      </c>
      <c r="H87" s="14">
        <f>IF(D87=0,"Not graded",IF(E87&gt;0,"Full",IF(F87&gt;0,"Partial","No")))</f>
        <v/>
      </c>
    </row>
    <row r="88" ht="15" customHeight="1" s="7">
      <c r="A88" s="14" t="inlineStr">
        <is>
          <t>Credential Access</t>
        </is>
      </c>
      <c r="B88" s="14" t="inlineStr">
        <is>
          <t>T1111</t>
        </is>
      </c>
      <c r="C88" s="14" t="inlineStr">
        <is>
          <t>Multi-Factor Authentication Interception</t>
        </is>
      </c>
      <c r="D88" s="14">
        <f>COUNTIFS(Entries!$A$2:$A$741,A88,Entries!$B$2:$B$741,B88)</f>
        <v/>
      </c>
      <c r="E88" s="14">
        <f>COUNTIFS(Entries!$A$2:$A$741,A88,Entries!$B$2:$B$741,B88,Entries!$F$2:$F$741,"Full")</f>
        <v/>
      </c>
      <c r="F88" s="14">
        <f>COUNTIFS(Entries!$A$2:$A$741,A88,Entries!$B$2:$B$741,B88,Entries!$F$2:$F$741,"Partial")</f>
        <v/>
      </c>
      <c r="G88" s="14">
        <f>COUNTIFS(Entries!$A$2:$A$741,A88,Entries!$B$2:$B$741,B88,Entries!$F$2:$F$741,"No")</f>
        <v/>
      </c>
      <c r="H88" s="14">
        <f>IF(D88=0,"Not graded",IF(E88&gt;0,"Full",IF(F88&gt;0,"Partial","No")))</f>
        <v/>
      </c>
    </row>
    <row r="89" ht="15" customHeight="1" s="7">
      <c r="A89" s="14" t="inlineStr">
        <is>
          <t>Credential Access</t>
        </is>
      </c>
      <c r="B89" s="14" t="inlineStr">
        <is>
          <t>T1187</t>
        </is>
      </c>
      <c r="C89" s="14" t="inlineStr">
        <is>
          <t>Forced Authentication</t>
        </is>
      </c>
      <c r="D89" s="14">
        <f>COUNTIFS(Entries!$A$2:$A$741,A89,Entries!$B$2:$B$741,B89)</f>
        <v/>
      </c>
      <c r="E89" s="14">
        <f>COUNTIFS(Entries!$A$2:$A$741,A89,Entries!$B$2:$B$741,B89,Entries!$F$2:$F$741,"Full")</f>
        <v/>
      </c>
      <c r="F89" s="14">
        <f>COUNTIFS(Entries!$A$2:$A$741,A89,Entries!$B$2:$B$741,B89,Entries!$F$2:$F$741,"Partial")</f>
        <v/>
      </c>
      <c r="G89" s="14">
        <f>COUNTIFS(Entries!$A$2:$A$741,A89,Entries!$B$2:$B$741,B89,Entries!$F$2:$F$741,"No")</f>
        <v/>
      </c>
      <c r="H89" s="14">
        <f>IF(D89=0,"Not graded",IF(E89&gt;0,"Full",IF(F89&gt;0,"Partial","No")))</f>
        <v/>
      </c>
    </row>
    <row r="90" ht="15" customHeight="1" s="7">
      <c r="A90" s="14" t="inlineStr">
        <is>
          <t>Credential Access</t>
        </is>
      </c>
      <c r="B90" s="14" t="inlineStr">
        <is>
          <t>T1212</t>
        </is>
      </c>
      <c r="C90" s="14" t="inlineStr">
        <is>
          <t>Exploitation for Credential Access</t>
        </is>
      </c>
      <c r="D90" s="14">
        <f>COUNTIFS(Entries!$A$2:$A$741,A90,Entries!$B$2:$B$741,B90)</f>
        <v/>
      </c>
      <c r="E90" s="14">
        <f>COUNTIFS(Entries!$A$2:$A$741,A90,Entries!$B$2:$B$741,B90,Entries!$F$2:$F$741,"Full")</f>
        <v/>
      </c>
      <c r="F90" s="14">
        <f>COUNTIFS(Entries!$A$2:$A$741,A90,Entries!$B$2:$B$741,B90,Entries!$F$2:$F$741,"Partial")</f>
        <v/>
      </c>
      <c r="G90" s="14">
        <f>COUNTIFS(Entries!$A$2:$A$741,A90,Entries!$B$2:$B$741,B90,Entries!$F$2:$F$741,"No")</f>
        <v/>
      </c>
      <c r="H90" s="14">
        <f>IF(D90=0,"Not graded",IF(E90&gt;0,"Full",IF(F90&gt;0,"Partial","No")))</f>
        <v/>
      </c>
    </row>
    <row r="91" ht="15" customHeight="1" s="7">
      <c r="A91" s="14" t="inlineStr">
        <is>
          <t>Credential Access</t>
        </is>
      </c>
      <c r="B91" s="14" t="inlineStr">
        <is>
          <t>T1528</t>
        </is>
      </c>
      <c r="C91" s="14" t="inlineStr">
        <is>
          <t>Steal Application Access Token</t>
        </is>
      </c>
      <c r="D91" s="14">
        <f>COUNTIFS(Entries!$A$2:$A$741,A91,Entries!$B$2:$B$741,B91)</f>
        <v/>
      </c>
      <c r="E91" s="14">
        <f>COUNTIFS(Entries!$A$2:$A$741,A91,Entries!$B$2:$B$741,B91,Entries!$F$2:$F$741,"Full")</f>
        <v/>
      </c>
      <c r="F91" s="14">
        <f>COUNTIFS(Entries!$A$2:$A$741,A91,Entries!$B$2:$B$741,B91,Entries!$F$2:$F$741,"Partial")</f>
        <v/>
      </c>
      <c r="G91" s="14">
        <f>COUNTIFS(Entries!$A$2:$A$741,A91,Entries!$B$2:$B$741,B91,Entries!$F$2:$F$741,"No")</f>
        <v/>
      </c>
      <c r="H91" s="14">
        <f>IF(D91=0,"Not graded",IF(E91&gt;0,"Full",IF(F91&gt;0,"Partial","No")))</f>
        <v/>
      </c>
    </row>
    <row r="92" ht="15" customHeight="1" s="7">
      <c r="A92" s="14" t="inlineStr">
        <is>
          <t>Credential Access</t>
        </is>
      </c>
      <c r="B92" s="14" t="inlineStr">
        <is>
          <t>T1539</t>
        </is>
      </c>
      <c r="C92" s="14" t="inlineStr">
        <is>
          <t>Steal Web Session Cookie</t>
        </is>
      </c>
      <c r="D92" s="14">
        <f>COUNTIFS(Entries!$A$2:$A$741,A92,Entries!$B$2:$B$741,B92)</f>
        <v/>
      </c>
      <c r="E92" s="14">
        <f>COUNTIFS(Entries!$A$2:$A$741,A92,Entries!$B$2:$B$741,B92,Entries!$F$2:$F$741,"Full")</f>
        <v/>
      </c>
      <c r="F92" s="14">
        <f>COUNTIFS(Entries!$A$2:$A$741,A92,Entries!$B$2:$B$741,B92,Entries!$F$2:$F$741,"Partial")</f>
        <v/>
      </c>
      <c r="G92" s="14">
        <f>COUNTIFS(Entries!$A$2:$A$741,A92,Entries!$B$2:$B$741,B92,Entries!$F$2:$F$741,"No")</f>
        <v/>
      </c>
      <c r="H92" s="14">
        <f>IF(D92=0,"Not graded",IF(E92&gt;0,"Full",IF(F92&gt;0,"Partial","No")))</f>
        <v/>
      </c>
    </row>
    <row r="93" ht="15" customHeight="1" s="7">
      <c r="A93" s="14" t="inlineStr">
        <is>
          <t>Credential Access</t>
        </is>
      </c>
      <c r="B93" s="14" t="inlineStr">
        <is>
          <t>T1552</t>
        </is>
      </c>
      <c r="C93" s="14" t="inlineStr">
        <is>
          <t>Unsecured Credentials</t>
        </is>
      </c>
      <c r="D93" s="14">
        <f>COUNTIFS(Entries!$A$2:$A$741,A93,Entries!$B$2:$B$741,B93)</f>
        <v/>
      </c>
      <c r="E93" s="14">
        <f>COUNTIFS(Entries!$A$2:$A$741,A93,Entries!$B$2:$B$741,B93,Entries!$F$2:$F$741,"Full")</f>
        <v/>
      </c>
      <c r="F93" s="14">
        <f>COUNTIFS(Entries!$A$2:$A$741,A93,Entries!$B$2:$B$741,B93,Entries!$F$2:$F$741,"Partial")</f>
        <v/>
      </c>
      <c r="G93" s="14">
        <f>COUNTIFS(Entries!$A$2:$A$741,A93,Entries!$B$2:$B$741,B93,Entries!$F$2:$F$741,"No")</f>
        <v/>
      </c>
      <c r="H93" s="14">
        <f>IF(D93=0,"Not graded",IF(E93&gt;0,"Full",IF(F93&gt;0,"Partial","No")))</f>
        <v/>
      </c>
    </row>
    <row r="94" ht="15" customHeight="1" s="7">
      <c r="A94" s="14" t="inlineStr">
        <is>
          <t>Credential Access</t>
        </is>
      </c>
      <c r="B94" s="14" t="inlineStr">
        <is>
          <t>T1555</t>
        </is>
      </c>
      <c r="C94" s="14" t="inlineStr">
        <is>
          <t>Credentials from Password Stores</t>
        </is>
      </c>
      <c r="D94" s="14">
        <f>COUNTIFS(Entries!$A$2:$A$741,A94,Entries!$B$2:$B$741,B94)</f>
        <v/>
      </c>
      <c r="E94" s="14">
        <f>COUNTIFS(Entries!$A$2:$A$741,A94,Entries!$B$2:$B$741,B94,Entries!$F$2:$F$741,"Full")</f>
        <v/>
      </c>
      <c r="F94" s="14">
        <f>COUNTIFS(Entries!$A$2:$A$741,A94,Entries!$B$2:$B$741,B94,Entries!$F$2:$F$741,"Partial")</f>
        <v/>
      </c>
      <c r="G94" s="14">
        <f>COUNTIFS(Entries!$A$2:$A$741,A94,Entries!$B$2:$B$741,B94,Entries!$F$2:$F$741,"No")</f>
        <v/>
      </c>
      <c r="H94" s="14">
        <f>IF(D94=0,"Not graded",IF(E94&gt;0,"Full",IF(F94&gt;0,"Partial","No")))</f>
        <v/>
      </c>
    </row>
    <row r="95" ht="15" customHeight="1" s="7">
      <c r="A95" s="14" t="inlineStr">
        <is>
          <t>Credential Access</t>
        </is>
      </c>
      <c r="B95" s="14" t="inlineStr">
        <is>
          <t>T1556</t>
        </is>
      </c>
      <c r="C95" s="14" t="inlineStr">
        <is>
          <t>Modify Authentication Process</t>
        </is>
      </c>
      <c r="D95" s="14">
        <f>COUNTIFS(Entries!$A$2:$A$741,A95,Entries!$B$2:$B$741,B95)</f>
        <v/>
      </c>
      <c r="E95" s="14">
        <f>COUNTIFS(Entries!$A$2:$A$741,A95,Entries!$B$2:$B$741,B95,Entries!$F$2:$F$741,"Full")</f>
        <v/>
      </c>
      <c r="F95" s="14">
        <f>COUNTIFS(Entries!$A$2:$A$741,A95,Entries!$B$2:$B$741,B95,Entries!$F$2:$F$741,"Partial")</f>
        <v/>
      </c>
      <c r="G95" s="14">
        <f>COUNTIFS(Entries!$A$2:$A$741,A95,Entries!$B$2:$B$741,B95,Entries!$F$2:$F$741,"No")</f>
        <v/>
      </c>
      <c r="H95" s="14">
        <f>IF(D95=0,"Not graded",IF(E95&gt;0,"Full",IF(F95&gt;0,"Partial","No")))</f>
        <v/>
      </c>
    </row>
    <row r="96" ht="15" customHeight="1" s="7">
      <c r="A96" s="14" t="inlineStr">
        <is>
          <t>Credential Access</t>
        </is>
      </c>
      <c r="B96" s="14" t="inlineStr">
        <is>
          <t>T1557</t>
        </is>
      </c>
      <c r="C96" s="14" t="inlineStr">
        <is>
          <t>Adversary-in-the-Middle</t>
        </is>
      </c>
      <c r="D96" s="14">
        <f>COUNTIFS(Entries!$A$2:$A$741,A96,Entries!$B$2:$B$741,B96)</f>
        <v/>
      </c>
      <c r="E96" s="14">
        <f>COUNTIFS(Entries!$A$2:$A$741,A96,Entries!$B$2:$B$741,B96,Entries!$F$2:$F$741,"Full")</f>
        <v/>
      </c>
      <c r="F96" s="14">
        <f>COUNTIFS(Entries!$A$2:$A$741,A96,Entries!$B$2:$B$741,B96,Entries!$F$2:$F$741,"Partial")</f>
        <v/>
      </c>
      <c r="G96" s="14">
        <f>COUNTIFS(Entries!$A$2:$A$741,A96,Entries!$B$2:$B$741,B96,Entries!$F$2:$F$741,"No")</f>
        <v/>
      </c>
      <c r="H96" s="14">
        <f>IF(D96=0,"Not graded",IF(E96&gt;0,"Full",IF(F96&gt;0,"Partial","No")))</f>
        <v/>
      </c>
    </row>
    <row r="97" ht="15" customHeight="1" s="7">
      <c r="A97" s="14" t="inlineStr">
        <is>
          <t>Credential Access</t>
        </is>
      </c>
      <c r="B97" s="14" t="inlineStr">
        <is>
          <t>T1558</t>
        </is>
      </c>
      <c r="C97" s="14" t="inlineStr">
        <is>
          <t>Steal or Forge Kerberos Tickets</t>
        </is>
      </c>
      <c r="D97" s="14">
        <f>COUNTIFS(Entries!$A$2:$A$741,A97,Entries!$B$2:$B$741,B97)</f>
        <v/>
      </c>
      <c r="E97" s="14">
        <f>COUNTIFS(Entries!$A$2:$A$741,A97,Entries!$B$2:$B$741,B97,Entries!$F$2:$F$741,"Full")</f>
        <v/>
      </c>
      <c r="F97" s="14">
        <f>COUNTIFS(Entries!$A$2:$A$741,A97,Entries!$B$2:$B$741,B97,Entries!$F$2:$F$741,"Partial")</f>
        <v/>
      </c>
      <c r="G97" s="14">
        <f>COUNTIFS(Entries!$A$2:$A$741,A97,Entries!$B$2:$B$741,B97,Entries!$F$2:$F$741,"No")</f>
        <v/>
      </c>
      <c r="H97" s="14">
        <f>IF(D97=0,"Not graded",IF(E97&gt;0,"Full",IF(F97&gt;0,"Partial","No")))</f>
        <v/>
      </c>
    </row>
    <row r="98" ht="15" customHeight="1" s="7">
      <c r="A98" s="14" t="inlineStr">
        <is>
          <t>Credential Access</t>
        </is>
      </c>
      <c r="B98" s="14" t="inlineStr">
        <is>
          <t>T1606</t>
        </is>
      </c>
      <c r="C98" s="14" t="inlineStr">
        <is>
          <t>Forge Web Credentials</t>
        </is>
      </c>
      <c r="D98" s="14">
        <f>COUNTIFS(Entries!$A$2:$A$741,A98,Entries!$B$2:$B$741,B98)</f>
        <v/>
      </c>
      <c r="E98" s="14">
        <f>COUNTIFS(Entries!$A$2:$A$741,A98,Entries!$B$2:$B$741,B98,Entries!$F$2:$F$741,"Full")</f>
        <v/>
      </c>
      <c r="F98" s="14">
        <f>COUNTIFS(Entries!$A$2:$A$741,A98,Entries!$B$2:$B$741,B98,Entries!$F$2:$F$741,"Partial")</f>
        <v/>
      </c>
      <c r="G98" s="14">
        <f>COUNTIFS(Entries!$A$2:$A$741,A98,Entries!$B$2:$B$741,B98,Entries!$F$2:$F$741,"No")</f>
        <v/>
      </c>
      <c r="H98" s="14">
        <f>IF(D98=0,"Not graded",IF(E98&gt;0,"Full",IF(F98&gt;0,"Partial","No")))</f>
        <v/>
      </c>
    </row>
    <row r="99" ht="15" customHeight="1" s="7">
      <c r="A99" s="14" t="inlineStr">
        <is>
          <t>Credential Access</t>
        </is>
      </c>
      <c r="B99" s="14" t="inlineStr">
        <is>
          <t>T1621</t>
        </is>
      </c>
      <c r="C99" s="14" t="inlineStr">
        <is>
          <t>Multi-Factor Authentication Request Generation</t>
        </is>
      </c>
      <c r="D99" s="14">
        <f>COUNTIFS(Entries!$A$2:$A$741,A99,Entries!$B$2:$B$741,B99)</f>
        <v/>
      </c>
      <c r="E99" s="14">
        <f>COUNTIFS(Entries!$A$2:$A$741,A99,Entries!$B$2:$B$741,B99,Entries!$F$2:$F$741,"Full")</f>
        <v/>
      </c>
      <c r="F99" s="14">
        <f>COUNTIFS(Entries!$A$2:$A$741,A99,Entries!$B$2:$B$741,B99,Entries!$F$2:$F$741,"Partial")</f>
        <v/>
      </c>
      <c r="G99" s="14">
        <f>COUNTIFS(Entries!$A$2:$A$741,A99,Entries!$B$2:$B$741,B99,Entries!$F$2:$F$741,"No")</f>
        <v/>
      </c>
      <c r="H99" s="14">
        <f>IF(D99=0,"Not graded",IF(E99&gt;0,"Full",IF(F99&gt;0,"Partial","No")))</f>
        <v/>
      </c>
    </row>
    <row r="100" ht="15" customHeight="1" s="7">
      <c r="A100" s="14" t="inlineStr">
        <is>
          <t>Credential Access</t>
        </is>
      </c>
      <c r="B100" s="14" t="inlineStr">
        <is>
          <t>T1649</t>
        </is>
      </c>
      <c r="C100" s="14" t="inlineStr">
        <is>
          <t>Steal or Forge Authentication Certificates</t>
        </is>
      </c>
      <c r="D100" s="14">
        <f>COUNTIFS(Entries!$A$2:$A$741,A100,Entries!$B$2:$B$741,B100)</f>
        <v/>
      </c>
      <c r="E100" s="14">
        <f>COUNTIFS(Entries!$A$2:$A$741,A100,Entries!$B$2:$B$741,B100,Entries!$F$2:$F$741,"Full")</f>
        <v/>
      </c>
      <c r="F100" s="14">
        <f>COUNTIFS(Entries!$A$2:$A$741,A100,Entries!$B$2:$B$741,B100,Entries!$F$2:$F$741,"Partial")</f>
        <v/>
      </c>
      <c r="G100" s="14">
        <f>COUNTIFS(Entries!$A$2:$A$741,A100,Entries!$B$2:$B$741,B100,Entries!$F$2:$F$741,"No")</f>
        <v/>
      </c>
      <c r="H100" s="14">
        <f>IF(D100=0,"Not graded",IF(E100&gt;0,"Full",IF(F100&gt;0,"Partial","No")))</f>
        <v/>
      </c>
    </row>
    <row r="101" ht="15" customHeight="1" s="7">
      <c r="A101" s="14" t="inlineStr">
        <is>
          <t>Defense Evasion</t>
        </is>
      </c>
      <c r="B101" s="14" t="inlineStr">
        <is>
          <t>T1006</t>
        </is>
      </c>
      <c r="C101" s="14" t="inlineStr">
        <is>
          <t>Direct Volume Access</t>
        </is>
      </c>
      <c r="D101" s="14">
        <f>COUNTIFS(Entries!$A$2:$A$741,A101,Entries!$B$2:$B$741,B101)</f>
        <v/>
      </c>
      <c r="E101" s="14">
        <f>COUNTIFS(Entries!$A$2:$A$741,A101,Entries!$B$2:$B$741,B101,Entries!$F$2:$F$741,"Full")</f>
        <v/>
      </c>
      <c r="F101" s="14">
        <f>COUNTIFS(Entries!$A$2:$A$741,A101,Entries!$B$2:$B$741,B101,Entries!$F$2:$F$741,"Partial")</f>
        <v/>
      </c>
      <c r="G101" s="14">
        <f>COUNTIFS(Entries!$A$2:$A$741,A101,Entries!$B$2:$B$741,B101,Entries!$F$2:$F$741,"No")</f>
        <v/>
      </c>
      <c r="H101" s="14">
        <f>IF(D101=0,"Not graded",IF(E101&gt;0,"Full",IF(F101&gt;0,"Partial","No")))</f>
        <v/>
      </c>
    </row>
    <row r="102" ht="15" customHeight="1" s="7">
      <c r="A102" s="14" t="inlineStr">
        <is>
          <t>Defense Evasion</t>
        </is>
      </c>
      <c r="B102" s="14" t="inlineStr">
        <is>
          <t>T1014</t>
        </is>
      </c>
      <c r="C102" s="14" t="inlineStr">
        <is>
          <t>Rootkit</t>
        </is>
      </c>
      <c r="D102" s="14">
        <f>COUNTIFS(Entries!$A$2:$A$741,A102,Entries!$B$2:$B$741,B102)</f>
        <v/>
      </c>
      <c r="E102" s="14">
        <f>COUNTIFS(Entries!$A$2:$A$741,A102,Entries!$B$2:$B$741,B102,Entries!$F$2:$F$741,"Full")</f>
        <v/>
      </c>
      <c r="F102" s="14">
        <f>COUNTIFS(Entries!$A$2:$A$741,A102,Entries!$B$2:$B$741,B102,Entries!$F$2:$F$741,"Partial")</f>
        <v/>
      </c>
      <c r="G102" s="14">
        <f>COUNTIFS(Entries!$A$2:$A$741,A102,Entries!$B$2:$B$741,B102,Entries!$F$2:$F$741,"No")</f>
        <v/>
      </c>
      <c r="H102" s="14">
        <f>IF(D102=0,"Not graded",IF(E102&gt;0,"Full",IF(F102&gt;0,"Partial","No")))</f>
        <v/>
      </c>
    </row>
    <row r="103" ht="15" customHeight="1" s="7">
      <c r="A103" s="14" t="inlineStr">
        <is>
          <t>Defense Evasion</t>
        </is>
      </c>
      <c r="B103" s="14" t="inlineStr">
        <is>
          <t>T1027</t>
        </is>
      </c>
      <c r="C103" s="14" t="inlineStr">
        <is>
          <t>Obfuscated Files or Information</t>
        </is>
      </c>
      <c r="D103" s="14">
        <f>COUNTIFS(Entries!$A$2:$A$741,A103,Entries!$B$2:$B$741,B103)</f>
        <v/>
      </c>
      <c r="E103" s="14">
        <f>COUNTIFS(Entries!$A$2:$A$741,A103,Entries!$B$2:$B$741,B103,Entries!$F$2:$F$741,"Full")</f>
        <v/>
      </c>
      <c r="F103" s="14">
        <f>COUNTIFS(Entries!$A$2:$A$741,A103,Entries!$B$2:$B$741,B103,Entries!$F$2:$F$741,"Partial")</f>
        <v/>
      </c>
      <c r="G103" s="14">
        <f>COUNTIFS(Entries!$A$2:$A$741,A103,Entries!$B$2:$B$741,B103,Entries!$F$2:$F$741,"No")</f>
        <v/>
      </c>
      <c r="H103" s="14">
        <f>IF(D103=0,"Not graded",IF(E103&gt;0,"Full",IF(F103&gt;0,"Partial","No")))</f>
        <v/>
      </c>
    </row>
    <row r="104" ht="15" customHeight="1" s="7">
      <c r="A104" s="14" t="inlineStr">
        <is>
          <t>Defense Evasion</t>
        </is>
      </c>
      <c r="B104" s="14" t="inlineStr">
        <is>
          <t>T1036</t>
        </is>
      </c>
      <c r="C104" s="14" t="inlineStr">
        <is>
          <t>Masquerading</t>
        </is>
      </c>
      <c r="D104" s="14">
        <f>COUNTIFS(Entries!$A$2:$A$741,A104,Entries!$B$2:$B$741,B104)</f>
        <v/>
      </c>
      <c r="E104" s="14">
        <f>COUNTIFS(Entries!$A$2:$A$741,A104,Entries!$B$2:$B$741,B104,Entries!$F$2:$F$741,"Full")</f>
        <v/>
      </c>
      <c r="F104" s="14">
        <f>COUNTIFS(Entries!$A$2:$A$741,A104,Entries!$B$2:$B$741,B104,Entries!$F$2:$F$741,"Partial")</f>
        <v/>
      </c>
      <c r="G104" s="14">
        <f>COUNTIFS(Entries!$A$2:$A$741,A104,Entries!$B$2:$B$741,B104,Entries!$F$2:$F$741,"No")</f>
        <v/>
      </c>
      <c r="H104" s="14">
        <f>IF(D104=0,"Not graded",IF(E104&gt;0,"Full",IF(F104&gt;0,"Partial","No")))</f>
        <v/>
      </c>
    </row>
    <row r="105" ht="15" customHeight="1" s="7">
      <c r="A105" s="14" t="inlineStr">
        <is>
          <t>Defense Evasion</t>
        </is>
      </c>
      <c r="B105" s="14" t="inlineStr">
        <is>
          <t>T1055</t>
        </is>
      </c>
      <c r="C105" s="14" t="inlineStr">
        <is>
          <t>Process Injection</t>
        </is>
      </c>
      <c r="D105" s="14">
        <f>COUNTIFS(Entries!$A$2:$A$741,A105,Entries!$B$2:$B$741,B105)</f>
        <v/>
      </c>
      <c r="E105" s="14">
        <f>COUNTIFS(Entries!$A$2:$A$741,A105,Entries!$B$2:$B$741,B105,Entries!$F$2:$F$741,"Full")</f>
        <v/>
      </c>
      <c r="F105" s="14">
        <f>COUNTIFS(Entries!$A$2:$A$741,A105,Entries!$B$2:$B$741,B105,Entries!$F$2:$F$741,"Partial")</f>
        <v/>
      </c>
      <c r="G105" s="14">
        <f>COUNTIFS(Entries!$A$2:$A$741,A105,Entries!$B$2:$B$741,B105,Entries!$F$2:$F$741,"No")</f>
        <v/>
      </c>
      <c r="H105" s="14">
        <f>IF(D105=0,"Not graded",IF(E105&gt;0,"Full",IF(F105&gt;0,"Partial","No")))</f>
        <v/>
      </c>
    </row>
    <row r="106" ht="15" customHeight="1" s="7">
      <c r="A106" s="14" t="inlineStr">
        <is>
          <t>Defense Evasion</t>
        </is>
      </c>
      <c r="B106" s="14" t="inlineStr">
        <is>
          <t>T1070</t>
        </is>
      </c>
      <c r="C106" s="14" t="inlineStr">
        <is>
          <t>Indicator Removal</t>
        </is>
      </c>
      <c r="D106" s="14">
        <f>COUNTIFS(Entries!$A$2:$A$741,A106,Entries!$B$2:$B$741,B106)</f>
        <v/>
      </c>
      <c r="E106" s="14">
        <f>COUNTIFS(Entries!$A$2:$A$741,A106,Entries!$B$2:$B$741,B106,Entries!$F$2:$F$741,"Full")</f>
        <v/>
      </c>
      <c r="F106" s="14">
        <f>COUNTIFS(Entries!$A$2:$A$741,A106,Entries!$B$2:$B$741,B106,Entries!$F$2:$F$741,"Partial")</f>
        <v/>
      </c>
      <c r="G106" s="14">
        <f>COUNTIFS(Entries!$A$2:$A$741,A106,Entries!$B$2:$B$741,B106,Entries!$F$2:$F$741,"No")</f>
        <v/>
      </c>
      <c r="H106" s="14">
        <f>IF(D106=0,"Not graded",IF(E106&gt;0,"Full",IF(F106&gt;0,"Partial","No")))</f>
        <v/>
      </c>
    </row>
    <row r="107" ht="15" customHeight="1" s="7">
      <c r="A107" s="14" t="inlineStr">
        <is>
          <t>Defense Evasion</t>
        </is>
      </c>
      <c r="B107" s="14" t="inlineStr">
        <is>
          <t>T1078</t>
        </is>
      </c>
      <c r="C107" s="14" t="inlineStr">
        <is>
          <t>Valid Accounts</t>
        </is>
      </c>
      <c r="D107" s="14">
        <f>COUNTIFS(Entries!$A$2:$A$741,A107,Entries!$B$2:$B$741,B107)</f>
        <v/>
      </c>
      <c r="E107" s="14">
        <f>COUNTIFS(Entries!$A$2:$A$741,A107,Entries!$B$2:$B$741,B107,Entries!$F$2:$F$741,"Full")</f>
        <v/>
      </c>
      <c r="F107" s="14">
        <f>COUNTIFS(Entries!$A$2:$A$741,A107,Entries!$B$2:$B$741,B107,Entries!$F$2:$F$741,"Partial")</f>
        <v/>
      </c>
      <c r="G107" s="14">
        <f>COUNTIFS(Entries!$A$2:$A$741,A107,Entries!$B$2:$B$741,B107,Entries!$F$2:$F$741,"No")</f>
        <v/>
      </c>
      <c r="H107" s="14">
        <f>IF(D107=0,"Not graded",IF(E107&gt;0,"Full",IF(F107&gt;0,"Partial","No")))</f>
        <v/>
      </c>
    </row>
    <row r="108" ht="15" customHeight="1" s="7">
      <c r="A108" s="14" t="inlineStr">
        <is>
          <t>Defense Evasion</t>
        </is>
      </c>
      <c r="B108" s="14" t="inlineStr">
        <is>
          <t>T1112</t>
        </is>
      </c>
      <c r="C108" s="14" t="inlineStr">
        <is>
          <t>Modify Registry</t>
        </is>
      </c>
      <c r="D108" s="14">
        <f>COUNTIFS(Entries!$A$2:$A$741,A108,Entries!$B$2:$B$741,B108)</f>
        <v/>
      </c>
      <c r="E108" s="14">
        <f>COUNTIFS(Entries!$A$2:$A$741,A108,Entries!$B$2:$B$741,B108,Entries!$F$2:$F$741,"Full")</f>
        <v/>
      </c>
      <c r="F108" s="14">
        <f>COUNTIFS(Entries!$A$2:$A$741,A108,Entries!$B$2:$B$741,B108,Entries!$F$2:$F$741,"Partial")</f>
        <v/>
      </c>
      <c r="G108" s="14">
        <f>COUNTIFS(Entries!$A$2:$A$741,A108,Entries!$B$2:$B$741,B108,Entries!$F$2:$F$741,"No")</f>
        <v/>
      </c>
      <c r="H108" s="14">
        <f>IF(D108=0,"Not graded",IF(E108&gt;0,"Full",IF(F108&gt;0,"Partial","No")))</f>
        <v/>
      </c>
    </row>
    <row r="109" ht="15" customHeight="1" s="7">
      <c r="A109" s="14" t="inlineStr">
        <is>
          <t>Defense Evasion</t>
        </is>
      </c>
      <c r="B109" s="14" t="inlineStr">
        <is>
          <t>T1127</t>
        </is>
      </c>
      <c r="C109" s="14" t="inlineStr">
        <is>
          <t>Trusted Developer Utilities Proxy Execution</t>
        </is>
      </c>
      <c r="D109" s="14">
        <f>COUNTIFS(Entries!$A$2:$A$741,A109,Entries!$B$2:$B$741,B109)</f>
        <v/>
      </c>
      <c r="E109" s="14">
        <f>COUNTIFS(Entries!$A$2:$A$741,A109,Entries!$B$2:$B$741,B109,Entries!$F$2:$F$741,"Full")</f>
        <v/>
      </c>
      <c r="F109" s="14">
        <f>COUNTIFS(Entries!$A$2:$A$741,A109,Entries!$B$2:$B$741,B109,Entries!$F$2:$F$741,"Partial")</f>
        <v/>
      </c>
      <c r="G109" s="14">
        <f>COUNTIFS(Entries!$A$2:$A$741,A109,Entries!$B$2:$B$741,B109,Entries!$F$2:$F$741,"No")</f>
        <v/>
      </c>
      <c r="H109" s="14">
        <f>IF(D109=0,"Not graded",IF(E109&gt;0,"Full",IF(F109&gt;0,"Partial","No")))</f>
        <v/>
      </c>
    </row>
    <row r="110" ht="15" customHeight="1" s="7">
      <c r="A110" s="14" t="inlineStr">
        <is>
          <t>Defense Evasion</t>
        </is>
      </c>
      <c r="B110" s="14" t="inlineStr">
        <is>
          <t>T1134</t>
        </is>
      </c>
      <c r="C110" s="14" t="inlineStr">
        <is>
          <t>Access Token Manipulation</t>
        </is>
      </c>
      <c r="D110" s="14">
        <f>COUNTIFS(Entries!$A$2:$A$741,A110,Entries!$B$2:$B$741,B110)</f>
        <v/>
      </c>
      <c r="E110" s="14">
        <f>COUNTIFS(Entries!$A$2:$A$741,A110,Entries!$B$2:$B$741,B110,Entries!$F$2:$F$741,"Full")</f>
        <v/>
      </c>
      <c r="F110" s="14">
        <f>COUNTIFS(Entries!$A$2:$A$741,A110,Entries!$B$2:$B$741,B110,Entries!$F$2:$F$741,"Partial")</f>
        <v/>
      </c>
      <c r="G110" s="14">
        <f>COUNTIFS(Entries!$A$2:$A$741,A110,Entries!$B$2:$B$741,B110,Entries!$F$2:$F$741,"No")</f>
        <v/>
      </c>
      <c r="H110" s="14">
        <f>IF(D110=0,"Not graded",IF(E110&gt;0,"Full",IF(F110&gt;0,"Partial","No")))</f>
        <v/>
      </c>
    </row>
    <row r="111" ht="15" customHeight="1" s="7">
      <c r="A111" s="14" t="inlineStr">
        <is>
          <t>Defense Evasion</t>
        </is>
      </c>
      <c r="B111" s="14" t="inlineStr">
        <is>
          <t>T1140</t>
        </is>
      </c>
      <c r="C111" s="14" t="inlineStr">
        <is>
          <t>Deobfuscate/Decode Files or Information</t>
        </is>
      </c>
      <c r="D111" s="14">
        <f>COUNTIFS(Entries!$A$2:$A$741,A111,Entries!$B$2:$B$741,B111)</f>
        <v/>
      </c>
      <c r="E111" s="14">
        <f>COUNTIFS(Entries!$A$2:$A$741,A111,Entries!$B$2:$B$741,B111,Entries!$F$2:$F$741,"Full")</f>
        <v/>
      </c>
      <c r="F111" s="14">
        <f>COUNTIFS(Entries!$A$2:$A$741,A111,Entries!$B$2:$B$741,B111,Entries!$F$2:$F$741,"Partial")</f>
        <v/>
      </c>
      <c r="G111" s="14">
        <f>COUNTIFS(Entries!$A$2:$A$741,A111,Entries!$B$2:$B$741,B111,Entries!$F$2:$F$741,"No")</f>
        <v/>
      </c>
      <c r="H111" s="14">
        <f>IF(D111=0,"Not graded",IF(E111&gt;0,"Full",IF(F111&gt;0,"Partial","No")))</f>
        <v/>
      </c>
    </row>
    <row r="112" ht="15" customHeight="1" s="7">
      <c r="A112" s="14" t="inlineStr">
        <is>
          <t>Defense Evasion</t>
        </is>
      </c>
      <c r="B112" s="14" t="inlineStr">
        <is>
          <t>T1197</t>
        </is>
      </c>
      <c r="C112" s="14" t="inlineStr">
        <is>
          <t>BITS Jobs</t>
        </is>
      </c>
      <c r="D112" s="14">
        <f>COUNTIFS(Entries!$A$2:$A$741,A112,Entries!$B$2:$B$741,B112)</f>
        <v/>
      </c>
      <c r="E112" s="14">
        <f>COUNTIFS(Entries!$A$2:$A$741,A112,Entries!$B$2:$B$741,B112,Entries!$F$2:$F$741,"Full")</f>
        <v/>
      </c>
      <c r="F112" s="14">
        <f>COUNTIFS(Entries!$A$2:$A$741,A112,Entries!$B$2:$B$741,B112,Entries!$F$2:$F$741,"Partial")</f>
        <v/>
      </c>
      <c r="G112" s="14">
        <f>COUNTIFS(Entries!$A$2:$A$741,A112,Entries!$B$2:$B$741,B112,Entries!$F$2:$F$741,"No")</f>
        <v/>
      </c>
      <c r="H112" s="14">
        <f>IF(D112=0,"Not graded",IF(E112&gt;0,"Full",IF(F112&gt;0,"Partial","No")))</f>
        <v/>
      </c>
    </row>
    <row r="113" ht="15" customHeight="1" s="7">
      <c r="A113" s="14" t="inlineStr">
        <is>
          <t>Defense Evasion</t>
        </is>
      </c>
      <c r="B113" s="14" t="inlineStr">
        <is>
          <t>T1202</t>
        </is>
      </c>
      <c r="C113" s="14" t="inlineStr">
        <is>
          <t>Indirect Command Execution</t>
        </is>
      </c>
      <c r="D113" s="14">
        <f>COUNTIFS(Entries!$A$2:$A$741,A113,Entries!$B$2:$B$741,B113)</f>
        <v/>
      </c>
      <c r="E113" s="14">
        <f>COUNTIFS(Entries!$A$2:$A$741,A113,Entries!$B$2:$B$741,B113,Entries!$F$2:$F$741,"Full")</f>
        <v/>
      </c>
      <c r="F113" s="14">
        <f>COUNTIFS(Entries!$A$2:$A$741,A113,Entries!$B$2:$B$741,B113,Entries!$F$2:$F$741,"Partial")</f>
        <v/>
      </c>
      <c r="G113" s="14">
        <f>COUNTIFS(Entries!$A$2:$A$741,A113,Entries!$B$2:$B$741,B113,Entries!$F$2:$F$741,"No")</f>
        <v/>
      </c>
      <c r="H113" s="14">
        <f>IF(D113=0,"Not graded",IF(E113&gt;0,"Full",IF(F113&gt;0,"Partial","No")))</f>
        <v/>
      </c>
    </row>
    <row r="114" ht="15" customHeight="1" s="7">
      <c r="A114" s="14" t="inlineStr">
        <is>
          <t>Defense Evasion</t>
        </is>
      </c>
      <c r="B114" s="14" t="inlineStr">
        <is>
          <t>T1205</t>
        </is>
      </c>
      <c r="C114" s="14" t="inlineStr">
        <is>
          <t>Traffic Signaling</t>
        </is>
      </c>
      <c r="D114" s="14">
        <f>COUNTIFS(Entries!$A$2:$A$741,A114,Entries!$B$2:$B$741,B114)</f>
        <v/>
      </c>
      <c r="E114" s="14">
        <f>COUNTIFS(Entries!$A$2:$A$741,A114,Entries!$B$2:$B$741,B114,Entries!$F$2:$F$741,"Full")</f>
        <v/>
      </c>
      <c r="F114" s="14">
        <f>COUNTIFS(Entries!$A$2:$A$741,A114,Entries!$B$2:$B$741,B114,Entries!$F$2:$F$741,"Partial")</f>
        <v/>
      </c>
      <c r="G114" s="14">
        <f>COUNTIFS(Entries!$A$2:$A$741,A114,Entries!$B$2:$B$741,B114,Entries!$F$2:$F$741,"No")</f>
        <v/>
      </c>
      <c r="H114" s="14">
        <f>IF(D114=0,"Not graded",IF(E114&gt;0,"Full",IF(F114&gt;0,"Partial","No")))</f>
        <v/>
      </c>
    </row>
    <row r="115" ht="15" customHeight="1" s="7">
      <c r="A115" s="14" t="inlineStr">
        <is>
          <t>Defense Evasion</t>
        </is>
      </c>
      <c r="B115" s="14" t="inlineStr">
        <is>
          <t>T1207</t>
        </is>
      </c>
      <c r="C115" s="14" t="inlineStr">
        <is>
          <t>Rogue Domain Controller</t>
        </is>
      </c>
      <c r="D115" s="14">
        <f>COUNTIFS(Entries!$A$2:$A$741,A115,Entries!$B$2:$B$741,B115)</f>
        <v/>
      </c>
      <c r="E115" s="14">
        <f>COUNTIFS(Entries!$A$2:$A$741,A115,Entries!$B$2:$B$741,B115,Entries!$F$2:$F$741,"Full")</f>
        <v/>
      </c>
      <c r="F115" s="14">
        <f>COUNTIFS(Entries!$A$2:$A$741,A115,Entries!$B$2:$B$741,B115,Entries!$F$2:$F$741,"Partial")</f>
        <v/>
      </c>
      <c r="G115" s="14">
        <f>COUNTIFS(Entries!$A$2:$A$741,A115,Entries!$B$2:$B$741,B115,Entries!$F$2:$F$741,"No")</f>
        <v/>
      </c>
      <c r="H115" s="14">
        <f>IF(D115=0,"Not graded",IF(E115&gt;0,"Full",IF(F115&gt;0,"Partial","No")))</f>
        <v/>
      </c>
    </row>
    <row r="116" ht="15" customHeight="1" s="7">
      <c r="A116" s="14" t="inlineStr">
        <is>
          <t>Defense Evasion</t>
        </is>
      </c>
      <c r="B116" s="14" t="inlineStr">
        <is>
          <t>T1211</t>
        </is>
      </c>
      <c r="C116" s="14" t="inlineStr">
        <is>
          <t>Exploitation for Defense Evasion</t>
        </is>
      </c>
      <c r="D116" s="14">
        <f>COUNTIFS(Entries!$A$2:$A$741,A116,Entries!$B$2:$B$741,B116)</f>
        <v/>
      </c>
      <c r="E116" s="14">
        <f>COUNTIFS(Entries!$A$2:$A$741,A116,Entries!$B$2:$B$741,B116,Entries!$F$2:$F$741,"Full")</f>
        <v/>
      </c>
      <c r="F116" s="14">
        <f>COUNTIFS(Entries!$A$2:$A$741,A116,Entries!$B$2:$B$741,B116,Entries!$F$2:$F$741,"Partial")</f>
        <v/>
      </c>
      <c r="G116" s="14">
        <f>COUNTIFS(Entries!$A$2:$A$741,A116,Entries!$B$2:$B$741,B116,Entries!$F$2:$F$741,"No")</f>
        <v/>
      </c>
      <c r="H116" s="14">
        <f>IF(D116=0,"Not graded",IF(E116&gt;0,"Full",IF(F116&gt;0,"Partial","No")))</f>
        <v/>
      </c>
    </row>
    <row r="117" ht="15" customHeight="1" s="7">
      <c r="A117" s="14" t="inlineStr">
        <is>
          <t>Defense Evasion</t>
        </is>
      </c>
      <c r="B117" s="14" t="inlineStr">
        <is>
          <t>T1216</t>
        </is>
      </c>
      <c r="C117" s="14" t="inlineStr">
        <is>
          <t>System Script Proxy Execution</t>
        </is>
      </c>
      <c r="D117" s="14">
        <f>COUNTIFS(Entries!$A$2:$A$741,A117,Entries!$B$2:$B$741,B117)</f>
        <v/>
      </c>
      <c r="E117" s="14">
        <f>COUNTIFS(Entries!$A$2:$A$741,A117,Entries!$B$2:$B$741,B117,Entries!$F$2:$F$741,"Full")</f>
        <v/>
      </c>
      <c r="F117" s="14">
        <f>COUNTIFS(Entries!$A$2:$A$741,A117,Entries!$B$2:$B$741,B117,Entries!$F$2:$F$741,"Partial")</f>
        <v/>
      </c>
      <c r="G117" s="14">
        <f>COUNTIFS(Entries!$A$2:$A$741,A117,Entries!$B$2:$B$741,B117,Entries!$F$2:$F$741,"No")</f>
        <v/>
      </c>
      <c r="H117" s="14">
        <f>IF(D117=0,"Not graded",IF(E117&gt;0,"Full",IF(F117&gt;0,"Partial","No")))</f>
        <v/>
      </c>
    </row>
    <row r="118" ht="15" customHeight="1" s="7">
      <c r="A118" s="14" t="inlineStr">
        <is>
          <t>Defense Evasion</t>
        </is>
      </c>
      <c r="B118" s="14" t="inlineStr">
        <is>
          <t>T1218</t>
        </is>
      </c>
      <c r="C118" s="14" t="inlineStr">
        <is>
          <t>System Binary Proxy Execution</t>
        </is>
      </c>
      <c r="D118" s="14">
        <f>COUNTIFS(Entries!$A$2:$A$741,A118,Entries!$B$2:$B$741,B118)</f>
        <v/>
      </c>
      <c r="E118" s="14">
        <f>COUNTIFS(Entries!$A$2:$A$741,A118,Entries!$B$2:$B$741,B118,Entries!$F$2:$F$741,"Full")</f>
        <v/>
      </c>
      <c r="F118" s="14">
        <f>COUNTIFS(Entries!$A$2:$A$741,A118,Entries!$B$2:$B$741,B118,Entries!$F$2:$F$741,"Partial")</f>
        <v/>
      </c>
      <c r="G118" s="14">
        <f>COUNTIFS(Entries!$A$2:$A$741,A118,Entries!$B$2:$B$741,B118,Entries!$F$2:$F$741,"No")</f>
        <v/>
      </c>
      <c r="H118" s="14">
        <f>IF(D118=0,"Not graded",IF(E118&gt;0,"Full",IF(F118&gt;0,"Partial","No")))</f>
        <v/>
      </c>
    </row>
    <row r="119" ht="15" customHeight="1" s="7">
      <c r="A119" s="14" t="inlineStr">
        <is>
          <t>Defense Evasion</t>
        </is>
      </c>
      <c r="B119" s="14" t="inlineStr">
        <is>
          <t>T1220</t>
        </is>
      </c>
      <c r="C119" s="14" t="inlineStr">
        <is>
          <t>XSL Script Processing</t>
        </is>
      </c>
      <c r="D119" s="14">
        <f>COUNTIFS(Entries!$A$2:$A$741,A119,Entries!$B$2:$B$741,B119)</f>
        <v/>
      </c>
      <c r="E119" s="14">
        <f>COUNTIFS(Entries!$A$2:$A$741,A119,Entries!$B$2:$B$741,B119,Entries!$F$2:$F$741,"Full")</f>
        <v/>
      </c>
      <c r="F119" s="14">
        <f>COUNTIFS(Entries!$A$2:$A$741,A119,Entries!$B$2:$B$741,B119,Entries!$F$2:$F$741,"Partial")</f>
        <v/>
      </c>
      <c r="G119" s="14">
        <f>COUNTIFS(Entries!$A$2:$A$741,A119,Entries!$B$2:$B$741,B119,Entries!$F$2:$F$741,"No")</f>
        <v/>
      </c>
      <c r="H119" s="14">
        <f>IF(D119=0,"Not graded",IF(E119&gt;0,"Full",IF(F119&gt;0,"Partial","No")))</f>
        <v/>
      </c>
    </row>
    <row r="120" ht="15" customHeight="1" s="7">
      <c r="A120" s="14" t="inlineStr">
        <is>
          <t>Defense Evasion</t>
        </is>
      </c>
      <c r="B120" s="14" t="inlineStr">
        <is>
          <t>T1221</t>
        </is>
      </c>
      <c r="C120" s="14" t="inlineStr">
        <is>
          <t>Template Injection</t>
        </is>
      </c>
      <c r="D120" s="14">
        <f>COUNTIFS(Entries!$A$2:$A$741,A120,Entries!$B$2:$B$741,B120)</f>
        <v/>
      </c>
      <c r="E120" s="14">
        <f>COUNTIFS(Entries!$A$2:$A$741,A120,Entries!$B$2:$B$741,B120,Entries!$F$2:$F$741,"Full")</f>
        <v/>
      </c>
      <c r="F120" s="14">
        <f>COUNTIFS(Entries!$A$2:$A$741,A120,Entries!$B$2:$B$741,B120,Entries!$F$2:$F$741,"Partial")</f>
        <v/>
      </c>
      <c r="G120" s="14">
        <f>COUNTIFS(Entries!$A$2:$A$741,A120,Entries!$B$2:$B$741,B120,Entries!$F$2:$F$741,"No")</f>
        <v/>
      </c>
      <c r="H120" s="14">
        <f>IF(D120=0,"Not graded",IF(E120&gt;0,"Full",IF(F120&gt;0,"Partial","No")))</f>
        <v/>
      </c>
    </row>
    <row r="121" ht="15" customHeight="1" s="7">
      <c r="A121" s="14" t="inlineStr">
        <is>
          <t>Defense Evasion</t>
        </is>
      </c>
      <c r="B121" s="14" t="inlineStr">
        <is>
          <t>T1222</t>
        </is>
      </c>
      <c r="C121" s="14" t="inlineStr">
        <is>
          <t>File and Directory Permissions Modification</t>
        </is>
      </c>
      <c r="D121" s="14">
        <f>COUNTIFS(Entries!$A$2:$A$741,A121,Entries!$B$2:$B$741,B121)</f>
        <v/>
      </c>
      <c r="E121" s="14">
        <f>COUNTIFS(Entries!$A$2:$A$741,A121,Entries!$B$2:$B$741,B121,Entries!$F$2:$F$741,"Full")</f>
        <v/>
      </c>
      <c r="F121" s="14">
        <f>COUNTIFS(Entries!$A$2:$A$741,A121,Entries!$B$2:$B$741,B121,Entries!$F$2:$F$741,"Partial")</f>
        <v/>
      </c>
      <c r="G121" s="14">
        <f>COUNTIFS(Entries!$A$2:$A$741,A121,Entries!$B$2:$B$741,B121,Entries!$F$2:$F$741,"No")</f>
        <v/>
      </c>
      <c r="H121" s="14">
        <f>IF(D121=0,"Not graded",IF(E121&gt;0,"Full",IF(F121&gt;0,"Partial","No")))</f>
        <v/>
      </c>
    </row>
    <row r="122" ht="15" customHeight="1" s="7">
      <c r="A122" s="14" t="inlineStr">
        <is>
          <t>Defense Evasion</t>
        </is>
      </c>
      <c r="B122" s="14" t="inlineStr">
        <is>
          <t>T1480</t>
        </is>
      </c>
      <c r="C122" s="14" t="inlineStr">
        <is>
          <t>Execution Guardrails</t>
        </is>
      </c>
      <c r="D122" s="14">
        <f>COUNTIFS(Entries!$A$2:$A$741,A122,Entries!$B$2:$B$741,B122)</f>
        <v/>
      </c>
      <c r="E122" s="14">
        <f>COUNTIFS(Entries!$A$2:$A$741,A122,Entries!$B$2:$B$741,B122,Entries!$F$2:$F$741,"Full")</f>
        <v/>
      </c>
      <c r="F122" s="14">
        <f>COUNTIFS(Entries!$A$2:$A$741,A122,Entries!$B$2:$B$741,B122,Entries!$F$2:$F$741,"Partial")</f>
        <v/>
      </c>
      <c r="G122" s="14">
        <f>COUNTIFS(Entries!$A$2:$A$741,A122,Entries!$B$2:$B$741,B122,Entries!$F$2:$F$741,"No")</f>
        <v/>
      </c>
      <c r="H122" s="14">
        <f>IF(D122=0,"Not graded",IF(E122&gt;0,"Full",IF(F122&gt;0,"Partial","No")))</f>
        <v/>
      </c>
    </row>
    <row r="123" ht="15" customHeight="1" s="7">
      <c r="A123" s="14" t="inlineStr">
        <is>
          <t>Defense Evasion</t>
        </is>
      </c>
      <c r="B123" s="14" t="inlineStr">
        <is>
          <t>T1484</t>
        </is>
      </c>
      <c r="C123" s="14" t="inlineStr">
        <is>
          <t>Domain or Tenant Policy Modification</t>
        </is>
      </c>
      <c r="D123" s="14">
        <f>COUNTIFS(Entries!$A$2:$A$741,A123,Entries!$B$2:$B$741,B123)</f>
        <v/>
      </c>
      <c r="E123" s="14">
        <f>COUNTIFS(Entries!$A$2:$A$741,A123,Entries!$B$2:$B$741,B123,Entries!$F$2:$F$741,"Full")</f>
        <v/>
      </c>
      <c r="F123" s="14">
        <f>COUNTIFS(Entries!$A$2:$A$741,A123,Entries!$B$2:$B$741,B123,Entries!$F$2:$F$741,"Partial")</f>
        <v/>
      </c>
      <c r="G123" s="14">
        <f>COUNTIFS(Entries!$A$2:$A$741,A123,Entries!$B$2:$B$741,B123,Entries!$F$2:$F$741,"No")</f>
        <v/>
      </c>
      <c r="H123" s="14">
        <f>IF(D123=0,"Not graded",IF(E123&gt;0,"Full",IF(F123&gt;0,"Partial","No")))</f>
        <v/>
      </c>
    </row>
    <row r="124" ht="15" customHeight="1" s="7">
      <c r="A124" s="14" t="inlineStr">
        <is>
          <t>Defense Evasion</t>
        </is>
      </c>
      <c r="B124" s="14" t="inlineStr">
        <is>
          <t>T1497</t>
        </is>
      </c>
      <c r="C124" s="14" t="inlineStr">
        <is>
          <t>Virtualization/Sandbox Evasion</t>
        </is>
      </c>
      <c r="D124" s="14">
        <f>COUNTIFS(Entries!$A$2:$A$741,A124,Entries!$B$2:$B$741,B124)</f>
        <v/>
      </c>
      <c r="E124" s="14">
        <f>COUNTIFS(Entries!$A$2:$A$741,A124,Entries!$B$2:$B$741,B124,Entries!$F$2:$F$741,"Full")</f>
        <v/>
      </c>
      <c r="F124" s="14">
        <f>COUNTIFS(Entries!$A$2:$A$741,A124,Entries!$B$2:$B$741,B124,Entries!$F$2:$F$741,"Partial")</f>
        <v/>
      </c>
      <c r="G124" s="14">
        <f>COUNTIFS(Entries!$A$2:$A$741,A124,Entries!$B$2:$B$741,B124,Entries!$F$2:$F$741,"No")</f>
        <v/>
      </c>
      <c r="H124" s="14">
        <f>IF(D124=0,"Not graded",IF(E124&gt;0,"Full",IF(F124&gt;0,"Partial","No")))</f>
        <v/>
      </c>
    </row>
    <row r="125" ht="15" customHeight="1" s="7">
      <c r="A125" s="14" t="inlineStr">
        <is>
          <t>Defense Evasion</t>
        </is>
      </c>
      <c r="B125" s="14" t="inlineStr">
        <is>
          <t>T1535</t>
        </is>
      </c>
      <c r="C125" s="14" t="inlineStr">
        <is>
          <t>Unused/Unsupported Cloud Regions</t>
        </is>
      </c>
      <c r="D125" s="14">
        <f>COUNTIFS(Entries!$A$2:$A$741,A125,Entries!$B$2:$B$741,B125)</f>
        <v/>
      </c>
      <c r="E125" s="14">
        <f>COUNTIFS(Entries!$A$2:$A$741,A125,Entries!$B$2:$B$741,B125,Entries!$F$2:$F$741,"Full")</f>
        <v/>
      </c>
      <c r="F125" s="14">
        <f>COUNTIFS(Entries!$A$2:$A$741,A125,Entries!$B$2:$B$741,B125,Entries!$F$2:$F$741,"Partial")</f>
        <v/>
      </c>
      <c r="G125" s="14">
        <f>COUNTIFS(Entries!$A$2:$A$741,A125,Entries!$B$2:$B$741,B125,Entries!$F$2:$F$741,"No")</f>
        <v/>
      </c>
      <c r="H125" s="14">
        <f>IF(D125=0,"Not graded",IF(E125&gt;0,"Full",IF(F125&gt;0,"Partial","No")))</f>
        <v/>
      </c>
    </row>
    <row r="126" ht="15" customHeight="1" s="7">
      <c r="A126" s="14" t="inlineStr">
        <is>
          <t>Defense Evasion</t>
        </is>
      </c>
      <c r="B126" s="14" t="inlineStr">
        <is>
          <t>T1542</t>
        </is>
      </c>
      <c r="C126" s="14" t="inlineStr">
        <is>
          <t>Pre-OS Boot</t>
        </is>
      </c>
      <c r="D126" s="14">
        <f>COUNTIFS(Entries!$A$2:$A$741,A126,Entries!$B$2:$B$741,B126)</f>
        <v/>
      </c>
      <c r="E126" s="14">
        <f>COUNTIFS(Entries!$A$2:$A$741,A126,Entries!$B$2:$B$741,B126,Entries!$F$2:$F$741,"Full")</f>
        <v/>
      </c>
      <c r="F126" s="14">
        <f>COUNTIFS(Entries!$A$2:$A$741,A126,Entries!$B$2:$B$741,B126,Entries!$F$2:$F$741,"Partial")</f>
        <v/>
      </c>
      <c r="G126" s="14">
        <f>COUNTIFS(Entries!$A$2:$A$741,A126,Entries!$B$2:$B$741,B126,Entries!$F$2:$F$741,"No")</f>
        <v/>
      </c>
      <c r="H126" s="14">
        <f>IF(D126=0,"Not graded",IF(E126&gt;0,"Full",IF(F126&gt;0,"Partial","No")))</f>
        <v/>
      </c>
    </row>
    <row r="127" ht="15" customHeight="1" s="7">
      <c r="A127" s="14" t="inlineStr">
        <is>
          <t>Defense Evasion</t>
        </is>
      </c>
      <c r="B127" s="14" t="inlineStr">
        <is>
          <t>T1548</t>
        </is>
      </c>
      <c r="C127" s="14" t="inlineStr">
        <is>
          <t>Abuse Elevation Control Mechanism</t>
        </is>
      </c>
      <c r="D127" s="14">
        <f>COUNTIFS(Entries!$A$2:$A$741,A127,Entries!$B$2:$B$741,B127)</f>
        <v/>
      </c>
      <c r="E127" s="14">
        <f>COUNTIFS(Entries!$A$2:$A$741,A127,Entries!$B$2:$B$741,B127,Entries!$F$2:$F$741,"Full")</f>
        <v/>
      </c>
      <c r="F127" s="14">
        <f>COUNTIFS(Entries!$A$2:$A$741,A127,Entries!$B$2:$B$741,B127,Entries!$F$2:$F$741,"Partial")</f>
        <v/>
      </c>
      <c r="G127" s="14">
        <f>COUNTIFS(Entries!$A$2:$A$741,A127,Entries!$B$2:$B$741,B127,Entries!$F$2:$F$741,"No")</f>
        <v/>
      </c>
      <c r="H127" s="14">
        <f>IF(D127=0,"Not graded",IF(E127&gt;0,"Full",IF(F127&gt;0,"Partial","No")))</f>
        <v/>
      </c>
    </row>
    <row r="128" ht="15" customHeight="1" s="7">
      <c r="A128" s="14" t="inlineStr">
        <is>
          <t>Defense Evasion</t>
        </is>
      </c>
      <c r="B128" s="14" t="inlineStr">
        <is>
          <t>T1550</t>
        </is>
      </c>
      <c r="C128" s="14" t="inlineStr">
        <is>
          <t>Use Alternate Authentication Material</t>
        </is>
      </c>
      <c r="D128" s="14">
        <f>COUNTIFS(Entries!$A$2:$A$741,A128,Entries!$B$2:$B$741,B128)</f>
        <v/>
      </c>
      <c r="E128" s="14">
        <f>COUNTIFS(Entries!$A$2:$A$741,A128,Entries!$B$2:$B$741,B128,Entries!$F$2:$F$741,"Full")</f>
        <v/>
      </c>
      <c r="F128" s="14">
        <f>COUNTIFS(Entries!$A$2:$A$741,A128,Entries!$B$2:$B$741,B128,Entries!$F$2:$F$741,"Partial")</f>
        <v/>
      </c>
      <c r="G128" s="14">
        <f>COUNTIFS(Entries!$A$2:$A$741,A128,Entries!$B$2:$B$741,B128,Entries!$F$2:$F$741,"No")</f>
        <v/>
      </c>
      <c r="H128" s="14">
        <f>IF(D128=0,"Not graded",IF(E128&gt;0,"Full",IF(F128&gt;0,"Partial","No")))</f>
        <v/>
      </c>
    </row>
    <row r="129" ht="15" customHeight="1" s="7">
      <c r="A129" s="14" t="inlineStr">
        <is>
          <t>Defense Evasion</t>
        </is>
      </c>
      <c r="B129" s="14" t="inlineStr">
        <is>
          <t>T1553</t>
        </is>
      </c>
      <c r="C129" s="14" t="inlineStr">
        <is>
          <t>Subvert Trust Controls</t>
        </is>
      </c>
      <c r="D129" s="14">
        <f>COUNTIFS(Entries!$A$2:$A$741,A129,Entries!$B$2:$B$741,B129)</f>
        <v/>
      </c>
      <c r="E129" s="14">
        <f>COUNTIFS(Entries!$A$2:$A$741,A129,Entries!$B$2:$B$741,B129,Entries!$F$2:$F$741,"Full")</f>
        <v/>
      </c>
      <c r="F129" s="14">
        <f>COUNTIFS(Entries!$A$2:$A$741,A129,Entries!$B$2:$B$741,B129,Entries!$F$2:$F$741,"Partial")</f>
        <v/>
      </c>
      <c r="G129" s="14">
        <f>COUNTIFS(Entries!$A$2:$A$741,A129,Entries!$B$2:$B$741,B129,Entries!$F$2:$F$741,"No")</f>
        <v/>
      </c>
      <c r="H129" s="14">
        <f>IF(D129=0,"Not graded",IF(E129&gt;0,"Full",IF(F129&gt;0,"Partial","No")))</f>
        <v/>
      </c>
    </row>
    <row r="130" ht="15" customHeight="1" s="7">
      <c r="A130" s="14" t="inlineStr">
        <is>
          <t>Defense Evasion</t>
        </is>
      </c>
      <c r="B130" s="14" t="inlineStr">
        <is>
          <t>T1556</t>
        </is>
      </c>
      <c r="C130" s="14" t="inlineStr">
        <is>
          <t>Modify Authentication Process</t>
        </is>
      </c>
      <c r="D130" s="14">
        <f>COUNTIFS(Entries!$A$2:$A$741,A130,Entries!$B$2:$B$741,B130)</f>
        <v/>
      </c>
      <c r="E130" s="14">
        <f>COUNTIFS(Entries!$A$2:$A$741,A130,Entries!$B$2:$B$741,B130,Entries!$F$2:$F$741,"Full")</f>
        <v/>
      </c>
      <c r="F130" s="14">
        <f>COUNTIFS(Entries!$A$2:$A$741,A130,Entries!$B$2:$B$741,B130,Entries!$F$2:$F$741,"Partial")</f>
        <v/>
      </c>
      <c r="G130" s="14">
        <f>COUNTIFS(Entries!$A$2:$A$741,A130,Entries!$B$2:$B$741,B130,Entries!$F$2:$F$741,"No")</f>
        <v/>
      </c>
      <c r="H130" s="14">
        <f>IF(D130=0,"Not graded",IF(E130&gt;0,"Full",IF(F130&gt;0,"Partial","No")))</f>
        <v/>
      </c>
    </row>
    <row r="131" ht="15" customHeight="1" s="7">
      <c r="A131" s="14" t="inlineStr">
        <is>
          <t>Defense Evasion</t>
        </is>
      </c>
      <c r="B131" s="14" t="inlineStr">
        <is>
          <t>T1562</t>
        </is>
      </c>
      <c r="C131" s="14" t="inlineStr">
        <is>
          <t>Impair Defenses</t>
        </is>
      </c>
      <c r="D131" s="14">
        <f>COUNTIFS(Entries!$A$2:$A$741,A131,Entries!$B$2:$B$741,B131)</f>
        <v/>
      </c>
      <c r="E131" s="14">
        <f>COUNTIFS(Entries!$A$2:$A$741,A131,Entries!$B$2:$B$741,B131,Entries!$F$2:$F$741,"Full")</f>
        <v/>
      </c>
      <c r="F131" s="14">
        <f>COUNTIFS(Entries!$A$2:$A$741,A131,Entries!$B$2:$B$741,B131,Entries!$F$2:$F$741,"Partial")</f>
        <v/>
      </c>
      <c r="G131" s="14">
        <f>COUNTIFS(Entries!$A$2:$A$741,A131,Entries!$B$2:$B$741,B131,Entries!$F$2:$F$741,"No")</f>
        <v/>
      </c>
      <c r="H131" s="14">
        <f>IF(D131=0,"Not graded",IF(E131&gt;0,"Full",IF(F131&gt;0,"Partial","No")))</f>
        <v/>
      </c>
    </row>
    <row r="132" ht="15" customHeight="1" s="7">
      <c r="A132" s="14" t="inlineStr">
        <is>
          <t>Defense Evasion</t>
        </is>
      </c>
      <c r="B132" s="14" t="inlineStr">
        <is>
          <t>T1564</t>
        </is>
      </c>
      <c r="C132" s="14" t="inlineStr">
        <is>
          <t>Hide Artifacts</t>
        </is>
      </c>
      <c r="D132" s="14">
        <f>COUNTIFS(Entries!$A$2:$A$741,A132,Entries!$B$2:$B$741,B132)</f>
        <v/>
      </c>
      <c r="E132" s="14">
        <f>COUNTIFS(Entries!$A$2:$A$741,A132,Entries!$B$2:$B$741,B132,Entries!$F$2:$F$741,"Full")</f>
        <v/>
      </c>
      <c r="F132" s="14">
        <f>COUNTIFS(Entries!$A$2:$A$741,A132,Entries!$B$2:$B$741,B132,Entries!$F$2:$F$741,"Partial")</f>
        <v/>
      </c>
      <c r="G132" s="14">
        <f>COUNTIFS(Entries!$A$2:$A$741,A132,Entries!$B$2:$B$741,B132,Entries!$F$2:$F$741,"No")</f>
        <v/>
      </c>
      <c r="H132" s="14">
        <f>IF(D132=0,"Not graded",IF(E132&gt;0,"Full",IF(F132&gt;0,"Partial","No")))</f>
        <v/>
      </c>
    </row>
    <row r="133" ht="15" customHeight="1" s="7">
      <c r="A133" s="14" t="inlineStr">
        <is>
          <t>Defense Evasion</t>
        </is>
      </c>
      <c r="B133" s="14" t="inlineStr">
        <is>
          <t>T1574</t>
        </is>
      </c>
      <c r="C133" s="14" t="inlineStr">
        <is>
          <t>Hijack Execution Flow</t>
        </is>
      </c>
      <c r="D133" s="14">
        <f>COUNTIFS(Entries!$A$2:$A$741,A133,Entries!$B$2:$B$741,B133)</f>
        <v/>
      </c>
      <c r="E133" s="14">
        <f>COUNTIFS(Entries!$A$2:$A$741,A133,Entries!$B$2:$B$741,B133,Entries!$F$2:$F$741,"Full")</f>
        <v/>
      </c>
      <c r="F133" s="14">
        <f>COUNTIFS(Entries!$A$2:$A$741,A133,Entries!$B$2:$B$741,B133,Entries!$F$2:$F$741,"Partial")</f>
        <v/>
      </c>
      <c r="G133" s="14">
        <f>COUNTIFS(Entries!$A$2:$A$741,A133,Entries!$B$2:$B$741,B133,Entries!$F$2:$F$741,"No")</f>
        <v/>
      </c>
      <c r="H133" s="14">
        <f>IF(D133=0,"Not graded",IF(E133&gt;0,"Full",IF(F133&gt;0,"Partial","No")))</f>
        <v/>
      </c>
    </row>
    <row r="134" ht="15" customHeight="1" s="7">
      <c r="A134" s="14" t="inlineStr">
        <is>
          <t>Defense Evasion</t>
        </is>
      </c>
      <c r="B134" s="14" t="inlineStr">
        <is>
          <t>T1578</t>
        </is>
      </c>
      <c r="C134" s="14" t="inlineStr">
        <is>
          <t>Modify Cloud Compute Infrastructure</t>
        </is>
      </c>
      <c r="D134" s="14">
        <f>COUNTIFS(Entries!$A$2:$A$741,A134,Entries!$B$2:$B$741,B134)</f>
        <v/>
      </c>
      <c r="E134" s="14">
        <f>COUNTIFS(Entries!$A$2:$A$741,A134,Entries!$B$2:$B$741,B134,Entries!$F$2:$F$741,"Full")</f>
        <v/>
      </c>
      <c r="F134" s="14">
        <f>COUNTIFS(Entries!$A$2:$A$741,A134,Entries!$B$2:$B$741,B134,Entries!$F$2:$F$741,"Partial")</f>
        <v/>
      </c>
      <c r="G134" s="14">
        <f>COUNTIFS(Entries!$A$2:$A$741,A134,Entries!$B$2:$B$741,B134,Entries!$F$2:$F$741,"No")</f>
        <v/>
      </c>
      <c r="H134" s="14">
        <f>IF(D134=0,"Not graded",IF(E134&gt;0,"Full",IF(F134&gt;0,"Partial","No")))</f>
        <v/>
      </c>
    </row>
    <row r="135" ht="15" customHeight="1" s="7">
      <c r="A135" s="14" t="inlineStr">
        <is>
          <t>Defense Evasion</t>
        </is>
      </c>
      <c r="B135" s="14" t="inlineStr">
        <is>
          <t>T1599</t>
        </is>
      </c>
      <c r="C135" s="14" t="inlineStr">
        <is>
          <t>Network Boundary Bridging</t>
        </is>
      </c>
      <c r="D135" s="14">
        <f>COUNTIFS(Entries!$A$2:$A$741,A135,Entries!$B$2:$B$741,B135)</f>
        <v/>
      </c>
      <c r="E135" s="14">
        <f>COUNTIFS(Entries!$A$2:$A$741,A135,Entries!$B$2:$B$741,B135,Entries!$F$2:$F$741,"Full")</f>
        <v/>
      </c>
      <c r="F135" s="14">
        <f>COUNTIFS(Entries!$A$2:$A$741,A135,Entries!$B$2:$B$741,B135,Entries!$F$2:$F$741,"Partial")</f>
        <v/>
      </c>
      <c r="G135" s="14">
        <f>COUNTIFS(Entries!$A$2:$A$741,A135,Entries!$B$2:$B$741,B135,Entries!$F$2:$F$741,"No")</f>
        <v/>
      </c>
      <c r="H135" s="14">
        <f>IF(D135=0,"Not graded",IF(E135&gt;0,"Full",IF(F135&gt;0,"Partial","No")))</f>
        <v/>
      </c>
    </row>
    <row r="136" ht="15" customHeight="1" s="7">
      <c r="A136" s="14" t="inlineStr">
        <is>
          <t>Defense Evasion</t>
        </is>
      </c>
      <c r="B136" s="14" t="inlineStr">
        <is>
          <t>T1600</t>
        </is>
      </c>
      <c r="C136" s="14" t="inlineStr">
        <is>
          <t>Weaken Encryption</t>
        </is>
      </c>
      <c r="D136" s="14">
        <f>COUNTIFS(Entries!$A$2:$A$741,A136,Entries!$B$2:$B$741,B136)</f>
        <v/>
      </c>
      <c r="E136" s="14">
        <f>COUNTIFS(Entries!$A$2:$A$741,A136,Entries!$B$2:$B$741,B136,Entries!$F$2:$F$741,"Full")</f>
        <v/>
      </c>
      <c r="F136" s="14">
        <f>COUNTIFS(Entries!$A$2:$A$741,A136,Entries!$B$2:$B$741,B136,Entries!$F$2:$F$741,"Partial")</f>
        <v/>
      </c>
      <c r="G136" s="14">
        <f>COUNTIFS(Entries!$A$2:$A$741,A136,Entries!$B$2:$B$741,B136,Entries!$F$2:$F$741,"No")</f>
        <v/>
      </c>
      <c r="H136" s="14">
        <f>IF(D136=0,"Not graded",IF(E136&gt;0,"Full",IF(F136&gt;0,"Partial","No")))</f>
        <v/>
      </c>
    </row>
    <row r="137" ht="15" customHeight="1" s="7">
      <c r="A137" s="14" t="inlineStr">
        <is>
          <t>Defense Evasion</t>
        </is>
      </c>
      <c r="B137" s="14" t="inlineStr">
        <is>
          <t>T1601</t>
        </is>
      </c>
      <c r="C137" s="14" t="inlineStr">
        <is>
          <t>Modify System Image</t>
        </is>
      </c>
      <c r="D137" s="14">
        <f>COUNTIFS(Entries!$A$2:$A$741,A137,Entries!$B$2:$B$741,B137)</f>
        <v/>
      </c>
      <c r="E137" s="14">
        <f>COUNTIFS(Entries!$A$2:$A$741,A137,Entries!$B$2:$B$741,B137,Entries!$F$2:$F$741,"Full")</f>
        <v/>
      </c>
      <c r="F137" s="14">
        <f>COUNTIFS(Entries!$A$2:$A$741,A137,Entries!$B$2:$B$741,B137,Entries!$F$2:$F$741,"Partial")</f>
        <v/>
      </c>
      <c r="G137" s="14">
        <f>COUNTIFS(Entries!$A$2:$A$741,A137,Entries!$B$2:$B$741,B137,Entries!$F$2:$F$741,"No")</f>
        <v/>
      </c>
      <c r="H137" s="14">
        <f>IF(D137=0,"Not graded",IF(E137&gt;0,"Full",IF(F137&gt;0,"Partial","No")))</f>
        <v/>
      </c>
    </row>
    <row r="138" ht="15" customHeight="1" s="7">
      <c r="A138" s="14" t="inlineStr">
        <is>
          <t>Defense Evasion</t>
        </is>
      </c>
      <c r="B138" s="14" t="inlineStr">
        <is>
          <t>T1610</t>
        </is>
      </c>
      <c r="C138" s="14" t="inlineStr">
        <is>
          <t>Deploy Container</t>
        </is>
      </c>
      <c r="D138" s="14">
        <f>COUNTIFS(Entries!$A$2:$A$741,A138,Entries!$B$2:$B$741,B138)</f>
        <v/>
      </c>
      <c r="E138" s="14">
        <f>COUNTIFS(Entries!$A$2:$A$741,A138,Entries!$B$2:$B$741,B138,Entries!$F$2:$F$741,"Full")</f>
        <v/>
      </c>
      <c r="F138" s="14">
        <f>COUNTIFS(Entries!$A$2:$A$741,A138,Entries!$B$2:$B$741,B138,Entries!$F$2:$F$741,"Partial")</f>
        <v/>
      </c>
      <c r="G138" s="14">
        <f>COUNTIFS(Entries!$A$2:$A$741,A138,Entries!$B$2:$B$741,B138,Entries!$F$2:$F$741,"No")</f>
        <v/>
      </c>
      <c r="H138" s="14">
        <f>IF(D138=0,"Not graded",IF(E138&gt;0,"Full",IF(F138&gt;0,"Partial","No")))</f>
        <v/>
      </c>
    </row>
    <row r="139" ht="15" customHeight="1" s="7">
      <c r="A139" s="14" t="inlineStr">
        <is>
          <t>Defense Evasion</t>
        </is>
      </c>
      <c r="B139" s="14" t="inlineStr">
        <is>
          <t>T1612</t>
        </is>
      </c>
      <c r="C139" s="14" t="inlineStr">
        <is>
          <t>Build Image on Host</t>
        </is>
      </c>
      <c r="D139" s="14">
        <f>COUNTIFS(Entries!$A$2:$A$741,A139,Entries!$B$2:$B$741,B139)</f>
        <v/>
      </c>
      <c r="E139" s="14">
        <f>COUNTIFS(Entries!$A$2:$A$741,A139,Entries!$B$2:$B$741,B139,Entries!$F$2:$F$741,"Full")</f>
        <v/>
      </c>
      <c r="F139" s="14">
        <f>COUNTIFS(Entries!$A$2:$A$741,A139,Entries!$B$2:$B$741,B139,Entries!$F$2:$F$741,"Partial")</f>
        <v/>
      </c>
      <c r="G139" s="14">
        <f>COUNTIFS(Entries!$A$2:$A$741,A139,Entries!$B$2:$B$741,B139,Entries!$F$2:$F$741,"No")</f>
        <v/>
      </c>
      <c r="H139" s="14">
        <f>IF(D139=0,"Not graded",IF(E139&gt;0,"Full",IF(F139&gt;0,"Partial","No")))</f>
        <v/>
      </c>
    </row>
    <row r="140" ht="15" customHeight="1" s="7">
      <c r="A140" s="14" t="inlineStr">
        <is>
          <t>Defense Evasion</t>
        </is>
      </c>
      <c r="B140" s="14" t="inlineStr">
        <is>
          <t>T1620</t>
        </is>
      </c>
      <c r="C140" s="14" t="inlineStr">
        <is>
          <t>Reflective Code Loading</t>
        </is>
      </c>
      <c r="D140" s="14">
        <f>COUNTIFS(Entries!$A$2:$A$741,A140,Entries!$B$2:$B$741,B140)</f>
        <v/>
      </c>
      <c r="E140" s="14">
        <f>COUNTIFS(Entries!$A$2:$A$741,A140,Entries!$B$2:$B$741,B140,Entries!$F$2:$F$741,"Full")</f>
        <v/>
      </c>
      <c r="F140" s="14">
        <f>COUNTIFS(Entries!$A$2:$A$741,A140,Entries!$B$2:$B$741,B140,Entries!$F$2:$F$741,"Partial")</f>
        <v/>
      </c>
      <c r="G140" s="14">
        <f>COUNTIFS(Entries!$A$2:$A$741,A140,Entries!$B$2:$B$741,B140,Entries!$F$2:$F$741,"No")</f>
        <v/>
      </c>
      <c r="H140" s="14">
        <f>IF(D140=0,"Not graded",IF(E140&gt;0,"Full",IF(F140&gt;0,"Partial","No")))</f>
        <v/>
      </c>
    </row>
    <row r="141" ht="15" customHeight="1" s="7">
      <c r="A141" s="14" t="inlineStr">
        <is>
          <t>Defense Evasion</t>
        </is>
      </c>
      <c r="B141" s="14" t="inlineStr">
        <is>
          <t>T1622</t>
        </is>
      </c>
      <c r="C141" s="14" t="inlineStr">
        <is>
          <t>Debugger Evasion</t>
        </is>
      </c>
      <c r="D141" s="14">
        <f>COUNTIFS(Entries!$A$2:$A$741,A141,Entries!$B$2:$B$741,B141)</f>
        <v/>
      </c>
      <c r="E141" s="14">
        <f>COUNTIFS(Entries!$A$2:$A$741,A141,Entries!$B$2:$B$741,B141,Entries!$F$2:$F$741,"Full")</f>
        <v/>
      </c>
      <c r="F141" s="14">
        <f>COUNTIFS(Entries!$A$2:$A$741,A141,Entries!$B$2:$B$741,B141,Entries!$F$2:$F$741,"Partial")</f>
        <v/>
      </c>
      <c r="G141" s="14">
        <f>COUNTIFS(Entries!$A$2:$A$741,A141,Entries!$B$2:$B$741,B141,Entries!$F$2:$F$741,"No")</f>
        <v/>
      </c>
      <c r="H141" s="14">
        <f>IF(D141=0,"Not graded",IF(E141&gt;0,"Full",IF(F141&gt;0,"Partial","No")))</f>
        <v/>
      </c>
    </row>
    <row r="142" ht="15" customHeight="1" s="7">
      <c r="A142" s="14" t="inlineStr">
        <is>
          <t>Defense Evasion</t>
        </is>
      </c>
      <c r="B142" s="14" t="inlineStr">
        <is>
          <t>T1647</t>
        </is>
      </c>
      <c r="C142" s="14" t="inlineStr">
        <is>
          <t>Plist File Modification</t>
        </is>
      </c>
      <c r="D142" s="14">
        <f>COUNTIFS(Entries!$A$2:$A$741,A142,Entries!$B$2:$B$741,B142)</f>
        <v/>
      </c>
      <c r="E142" s="14">
        <f>COUNTIFS(Entries!$A$2:$A$741,A142,Entries!$B$2:$B$741,B142,Entries!$F$2:$F$741,"Full")</f>
        <v/>
      </c>
      <c r="F142" s="14">
        <f>COUNTIFS(Entries!$A$2:$A$741,A142,Entries!$B$2:$B$741,B142,Entries!$F$2:$F$741,"Partial")</f>
        <v/>
      </c>
      <c r="G142" s="14">
        <f>COUNTIFS(Entries!$A$2:$A$741,A142,Entries!$B$2:$B$741,B142,Entries!$F$2:$F$741,"No")</f>
        <v/>
      </c>
      <c r="H142" s="14">
        <f>IF(D142=0,"Not graded",IF(E142&gt;0,"Full",IF(F142&gt;0,"Partial","No")))</f>
        <v/>
      </c>
    </row>
    <row r="143" ht="15" customHeight="1" s="7">
      <c r="A143" s="14" t="inlineStr">
        <is>
          <t>Defense Evasion</t>
        </is>
      </c>
      <c r="B143" s="14" t="inlineStr">
        <is>
          <t>T1656</t>
        </is>
      </c>
      <c r="C143" s="14" t="inlineStr">
        <is>
          <t>Impersonation</t>
        </is>
      </c>
      <c r="D143" s="14">
        <f>COUNTIFS(Entries!$A$2:$A$741,A143,Entries!$B$2:$B$741,B143)</f>
        <v/>
      </c>
      <c r="E143" s="14">
        <f>COUNTIFS(Entries!$A$2:$A$741,A143,Entries!$B$2:$B$741,B143,Entries!$F$2:$F$741,"Full")</f>
        <v/>
      </c>
      <c r="F143" s="14">
        <f>COUNTIFS(Entries!$A$2:$A$741,A143,Entries!$B$2:$B$741,B143,Entries!$F$2:$F$741,"Partial")</f>
        <v/>
      </c>
      <c r="G143" s="14">
        <f>COUNTIFS(Entries!$A$2:$A$741,A143,Entries!$B$2:$B$741,B143,Entries!$F$2:$F$741,"No")</f>
        <v/>
      </c>
      <c r="H143" s="14">
        <f>IF(D143=0,"Not graded",IF(E143&gt;0,"Full",IF(F143&gt;0,"Partial","No")))</f>
        <v/>
      </c>
    </row>
    <row r="144" ht="15" customHeight="1" s="7">
      <c r="A144" s="14" t="inlineStr">
        <is>
          <t>Defense Evasion</t>
        </is>
      </c>
      <c r="B144" s="14" t="inlineStr">
        <is>
          <t>T1666</t>
        </is>
      </c>
      <c r="C144" s="14" t="inlineStr">
        <is>
          <t>Modify Cloud Resource Hierarchy</t>
        </is>
      </c>
      <c r="D144" s="14">
        <f>COUNTIFS(Entries!$A$2:$A$741,A144,Entries!$B$2:$B$741,B144)</f>
        <v/>
      </c>
      <c r="E144" s="14">
        <f>COUNTIFS(Entries!$A$2:$A$741,A144,Entries!$B$2:$B$741,B144,Entries!$F$2:$F$741,"Full")</f>
        <v/>
      </c>
      <c r="F144" s="14">
        <f>COUNTIFS(Entries!$A$2:$A$741,A144,Entries!$B$2:$B$741,B144,Entries!$F$2:$F$741,"Partial")</f>
        <v/>
      </c>
      <c r="G144" s="14">
        <f>COUNTIFS(Entries!$A$2:$A$741,A144,Entries!$B$2:$B$741,B144,Entries!$F$2:$F$741,"No")</f>
        <v/>
      </c>
      <c r="H144" s="14">
        <f>IF(D144=0,"Not graded",IF(E144&gt;0,"Full",IF(F144&gt;0,"Partial","No")))</f>
        <v/>
      </c>
    </row>
    <row r="145" ht="15" customHeight="1" s="7">
      <c r="A145" s="14" t="inlineStr">
        <is>
          <t>Defense Evasion</t>
        </is>
      </c>
      <c r="B145" s="14" t="inlineStr">
        <is>
          <t>T1672</t>
        </is>
      </c>
      <c r="C145" s="14" t="inlineStr">
        <is>
          <t>Email Spoofing</t>
        </is>
      </c>
      <c r="D145" s="14">
        <f>COUNTIFS(Entries!$A$2:$A$741,A145,Entries!$B$2:$B$741,B145)</f>
        <v/>
      </c>
      <c r="E145" s="14">
        <f>COUNTIFS(Entries!$A$2:$A$741,A145,Entries!$B$2:$B$741,B145,Entries!$F$2:$F$741,"Full")</f>
        <v/>
      </c>
      <c r="F145" s="14">
        <f>COUNTIFS(Entries!$A$2:$A$741,A145,Entries!$B$2:$B$741,B145,Entries!$F$2:$F$741,"Partial")</f>
        <v/>
      </c>
      <c r="G145" s="14">
        <f>COUNTIFS(Entries!$A$2:$A$741,A145,Entries!$B$2:$B$741,B145,Entries!$F$2:$F$741,"No")</f>
        <v/>
      </c>
      <c r="H145" s="14">
        <f>IF(D145=0,"Not graded",IF(E145&gt;0,"Full",IF(F145&gt;0,"Partial","No")))</f>
        <v/>
      </c>
    </row>
    <row r="146" ht="15" customHeight="1" s="7">
      <c r="A146" s="14" t="inlineStr">
        <is>
          <t>Impact</t>
        </is>
      </c>
      <c r="B146" s="14" t="inlineStr">
        <is>
          <t>T1485</t>
        </is>
      </c>
      <c r="C146" s="14" t="inlineStr">
        <is>
          <t>Data Destruction</t>
        </is>
      </c>
      <c r="D146" s="14">
        <f>COUNTIFS(Entries!$A$2:$A$741,A146,Entries!$B$2:$B$741,B146)</f>
        <v/>
      </c>
      <c r="E146" s="14">
        <f>COUNTIFS(Entries!$A$2:$A$741,A146,Entries!$B$2:$B$741,B146,Entries!$F$2:$F$741,"Full")</f>
        <v/>
      </c>
      <c r="F146" s="14">
        <f>COUNTIFS(Entries!$A$2:$A$741,A146,Entries!$B$2:$B$741,B146,Entries!$F$2:$F$741,"Partial")</f>
        <v/>
      </c>
      <c r="G146" s="14">
        <f>COUNTIFS(Entries!$A$2:$A$741,A146,Entries!$B$2:$B$741,B146,Entries!$F$2:$F$741,"No")</f>
        <v/>
      </c>
      <c r="H146" s="14">
        <f>IF(D146=0,"Not graded",IF(E146&gt;0,"Full",IF(F146&gt;0,"Partial","No")))</f>
        <v/>
      </c>
    </row>
    <row r="147" ht="15" customHeight="1" s="7">
      <c r="A147" s="14" t="inlineStr">
        <is>
          <t>Impact</t>
        </is>
      </c>
      <c r="B147" s="14" t="inlineStr">
        <is>
          <t>T1486</t>
        </is>
      </c>
      <c r="C147" s="14" t="inlineStr">
        <is>
          <t>Data Encrypted for Impact</t>
        </is>
      </c>
      <c r="D147" s="14">
        <f>COUNTIFS(Entries!$A$2:$A$741,A147,Entries!$B$2:$B$741,B147)</f>
        <v/>
      </c>
      <c r="E147" s="14">
        <f>COUNTIFS(Entries!$A$2:$A$741,A147,Entries!$B$2:$B$741,B147,Entries!$F$2:$F$741,"Full")</f>
        <v/>
      </c>
      <c r="F147" s="14">
        <f>COUNTIFS(Entries!$A$2:$A$741,A147,Entries!$B$2:$B$741,B147,Entries!$F$2:$F$741,"Partial")</f>
        <v/>
      </c>
      <c r="G147" s="14">
        <f>COUNTIFS(Entries!$A$2:$A$741,A147,Entries!$B$2:$B$741,B147,Entries!$F$2:$F$741,"No")</f>
        <v/>
      </c>
      <c r="H147" s="14">
        <f>IF(D147=0,"Not graded",IF(E147&gt;0,"Full",IF(F147&gt;0,"Partial","No")))</f>
        <v/>
      </c>
    </row>
    <row r="148" ht="15" customHeight="1" s="7">
      <c r="A148" s="14" t="inlineStr">
        <is>
          <t>Impact</t>
        </is>
      </c>
      <c r="B148" s="14" t="inlineStr">
        <is>
          <t>T1489</t>
        </is>
      </c>
      <c r="C148" s="14" t="inlineStr">
        <is>
          <t>Service Stop</t>
        </is>
      </c>
      <c r="D148" s="14">
        <f>COUNTIFS(Entries!$A$2:$A$741,A148,Entries!$B$2:$B$741,B148)</f>
        <v/>
      </c>
      <c r="E148" s="14">
        <f>COUNTIFS(Entries!$A$2:$A$741,A148,Entries!$B$2:$B$741,B148,Entries!$F$2:$F$741,"Full")</f>
        <v/>
      </c>
      <c r="F148" s="14">
        <f>COUNTIFS(Entries!$A$2:$A$741,A148,Entries!$B$2:$B$741,B148,Entries!$F$2:$F$741,"Partial")</f>
        <v/>
      </c>
      <c r="G148" s="14">
        <f>COUNTIFS(Entries!$A$2:$A$741,A148,Entries!$B$2:$B$741,B148,Entries!$F$2:$F$741,"No")</f>
        <v/>
      </c>
      <c r="H148" s="14">
        <f>IF(D148=0,"Not graded",IF(E148&gt;0,"Full",IF(F148&gt;0,"Partial","No")))</f>
        <v/>
      </c>
    </row>
    <row r="149" ht="15" customHeight="1" s="7">
      <c r="A149" s="14" t="inlineStr">
        <is>
          <t>Impact</t>
        </is>
      </c>
      <c r="B149" s="14" t="inlineStr">
        <is>
          <t>T1490</t>
        </is>
      </c>
      <c r="C149" s="14" t="inlineStr">
        <is>
          <t>Inhibit System Recovery</t>
        </is>
      </c>
      <c r="D149" s="14">
        <f>COUNTIFS(Entries!$A$2:$A$741,A149,Entries!$B$2:$B$741,B149)</f>
        <v/>
      </c>
      <c r="E149" s="14">
        <f>COUNTIFS(Entries!$A$2:$A$741,A149,Entries!$B$2:$B$741,B149,Entries!$F$2:$F$741,"Full")</f>
        <v/>
      </c>
      <c r="F149" s="14">
        <f>COUNTIFS(Entries!$A$2:$A$741,A149,Entries!$B$2:$B$741,B149,Entries!$F$2:$F$741,"Partial")</f>
        <v/>
      </c>
      <c r="G149" s="14">
        <f>COUNTIFS(Entries!$A$2:$A$741,A149,Entries!$B$2:$B$741,B149,Entries!$F$2:$F$741,"No")</f>
        <v/>
      </c>
      <c r="H149" s="14">
        <f>IF(D149=0,"Not graded",IF(E149&gt;0,"Full",IF(F149&gt;0,"Partial","No")))</f>
        <v/>
      </c>
    </row>
    <row r="150" ht="15" customHeight="1" s="7">
      <c r="A150" s="14" t="inlineStr">
        <is>
          <t>Impact</t>
        </is>
      </c>
      <c r="B150" s="14" t="inlineStr">
        <is>
          <t>T1491</t>
        </is>
      </c>
      <c r="C150" s="14" t="inlineStr">
        <is>
          <t>Defacement</t>
        </is>
      </c>
      <c r="D150" s="14">
        <f>COUNTIFS(Entries!$A$2:$A$741,A150,Entries!$B$2:$B$741,B150)</f>
        <v/>
      </c>
      <c r="E150" s="14">
        <f>COUNTIFS(Entries!$A$2:$A$741,A150,Entries!$B$2:$B$741,B150,Entries!$F$2:$F$741,"Full")</f>
        <v/>
      </c>
      <c r="F150" s="14">
        <f>COUNTIFS(Entries!$A$2:$A$741,A150,Entries!$B$2:$B$741,B150,Entries!$F$2:$F$741,"Partial")</f>
        <v/>
      </c>
      <c r="G150" s="14">
        <f>COUNTIFS(Entries!$A$2:$A$741,A150,Entries!$B$2:$B$741,B150,Entries!$F$2:$F$741,"No")</f>
        <v/>
      </c>
      <c r="H150" s="14">
        <f>IF(D150=0,"Not graded",IF(E150&gt;0,"Full",IF(F150&gt;0,"Partial","No")))</f>
        <v/>
      </c>
    </row>
    <row r="151" ht="15" customHeight="1" s="7">
      <c r="A151" s="14" t="inlineStr">
        <is>
          <t>Impact</t>
        </is>
      </c>
      <c r="B151" s="14" t="inlineStr">
        <is>
          <t>T1495</t>
        </is>
      </c>
      <c r="C151" s="14" t="inlineStr">
        <is>
          <t>Firmware Corruption</t>
        </is>
      </c>
      <c r="D151" s="14">
        <f>COUNTIFS(Entries!$A$2:$A$741,A151,Entries!$B$2:$B$741,B151)</f>
        <v/>
      </c>
      <c r="E151" s="14">
        <f>COUNTIFS(Entries!$A$2:$A$741,A151,Entries!$B$2:$B$741,B151,Entries!$F$2:$F$741,"Full")</f>
        <v/>
      </c>
      <c r="F151" s="14">
        <f>COUNTIFS(Entries!$A$2:$A$741,A151,Entries!$B$2:$B$741,B151,Entries!$F$2:$F$741,"Partial")</f>
        <v/>
      </c>
      <c r="G151" s="14">
        <f>COUNTIFS(Entries!$A$2:$A$741,A151,Entries!$B$2:$B$741,B151,Entries!$F$2:$F$741,"No")</f>
        <v/>
      </c>
      <c r="H151" s="14">
        <f>IF(D151=0,"Not graded",IF(E151&gt;0,"Full",IF(F151&gt;0,"Partial","No")))</f>
        <v/>
      </c>
    </row>
    <row r="152" ht="15" customHeight="1" s="7">
      <c r="A152" s="14" t="inlineStr">
        <is>
          <t>Impact</t>
        </is>
      </c>
      <c r="B152" s="14" t="inlineStr">
        <is>
          <t>T1496</t>
        </is>
      </c>
      <c r="C152" s="14" t="inlineStr">
        <is>
          <t>Resource Hijacking</t>
        </is>
      </c>
      <c r="D152" s="14">
        <f>COUNTIFS(Entries!$A$2:$A$741,A152,Entries!$B$2:$B$741,B152)</f>
        <v/>
      </c>
      <c r="E152" s="14">
        <f>COUNTIFS(Entries!$A$2:$A$741,A152,Entries!$B$2:$B$741,B152,Entries!$F$2:$F$741,"Full")</f>
        <v/>
      </c>
      <c r="F152" s="14">
        <f>COUNTIFS(Entries!$A$2:$A$741,A152,Entries!$B$2:$B$741,B152,Entries!$F$2:$F$741,"Partial")</f>
        <v/>
      </c>
      <c r="G152" s="14">
        <f>COUNTIFS(Entries!$A$2:$A$741,A152,Entries!$B$2:$B$741,B152,Entries!$F$2:$F$741,"No")</f>
        <v/>
      </c>
      <c r="H152" s="14">
        <f>IF(D152=0,"Not graded",IF(E152&gt;0,"Full",IF(F152&gt;0,"Partial","No")))</f>
        <v/>
      </c>
    </row>
    <row r="153" ht="15" customHeight="1" s="7">
      <c r="A153" s="14" t="inlineStr">
        <is>
          <t>Impact</t>
        </is>
      </c>
      <c r="B153" s="14" t="inlineStr">
        <is>
          <t>T1498</t>
        </is>
      </c>
      <c r="C153" s="14" t="inlineStr">
        <is>
          <t>Network Denial of Service</t>
        </is>
      </c>
      <c r="D153" s="14">
        <f>COUNTIFS(Entries!$A$2:$A$741,A153,Entries!$B$2:$B$741,B153)</f>
        <v/>
      </c>
      <c r="E153" s="14">
        <f>COUNTIFS(Entries!$A$2:$A$741,A153,Entries!$B$2:$B$741,B153,Entries!$F$2:$F$741,"Full")</f>
        <v/>
      </c>
      <c r="F153" s="14">
        <f>COUNTIFS(Entries!$A$2:$A$741,A153,Entries!$B$2:$B$741,B153,Entries!$F$2:$F$741,"Partial")</f>
        <v/>
      </c>
      <c r="G153" s="14">
        <f>COUNTIFS(Entries!$A$2:$A$741,A153,Entries!$B$2:$B$741,B153,Entries!$F$2:$F$741,"No")</f>
        <v/>
      </c>
      <c r="H153" s="14">
        <f>IF(D153=0,"Not graded",IF(E153&gt;0,"Full",IF(F153&gt;0,"Partial","No")))</f>
        <v/>
      </c>
    </row>
    <row r="154" ht="15" customHeight="1" s="7">
      <c r="A154" s="14" t="inlineStr">
        <is>
          <t>Impact</t>
        </is>
      </c>
      <c r="B154" s="14" t="inlineStr">
        <is>
          <t>T1499</t>
        </is>
      </c>
      <c r="C154" s="14" t="inlineStr">
        <is>
          <t>Endpoint Denial of Service</t>
        </is>
      </c>
      <c r="D154" s="14">
        <f>COUNTIFS(Entries!$A$2:$A$741,A154,Entries!$B$2:$B$741,B154)</f>
        <v/>
      </c>
      <c r="E154" s="14">
        <f>COUNTIFS(Entries!$A$2:$A$741,A154,Entries!$B$2:$B$741,B154,Entries!$F$2:$F$741,"Full")</f>
        <v/>
      </c>
      <c r="F154" s="14">
        <f>COUNTIFS(Entries!$A$2:$A$741,A154,Entries!$B$2:$B$741,B154,Entries!$F$2:$F$741,"Partial")</f>
        <v/>
      </c>
      <c r="G154" s="14">
        <f>COUNTIFS(Entries!$A$2:$A$741,A154,Entries!$B$2:$B$741,B154,Entries!$F$2:$F$741,"No")</f>
        <v/>
      </c>
      <c r="H154" s="14">
        <f>IF(D154=0,"Not graded",IF(E154&gt;0,"Full",IF(F154&gt;0,"Partial","No")))</f>
        <v/>
      </c>
    </row>
    <row r="155" ht="15" customHeight="1" s="7">
      <c r="A155" s="14" t="inlineStr">
        <is>
          <t>Impact</t>
        </is>
      </c>
      <c r="B155" s="14" t="inlineStr">
        <is>
          <t>T1529</t>
        </is>
      </c>
      <c r="C155" s="14" t="inlineStr">
        <is>
          <t>System Shutdown/Reboot</t>
        </is>
      </c>
      <c r="D155" s="14">
        <f>COUNTIFS(Entries!$A$2:$A$741,A155,Entries!$B$2:$B$741,B155)</f>
        <v/>
      </c>
      <c r="E155" s="14">
        <f>COUNTIFS(Entries!$A$2:$A$741,A155,Entries!$B$2:$B$741,B155,Entries!$F$2:$F$741,"Full")</f>
        <v/>
      </c>
      <c r="F155" s="14">
        <f>COUNTIFS(Entries!$A$2:$A$741,A155,Entries!$B$2:$B$741,B155,Entries!$F$2:$F$741,"Partial")</f>
        <v/>
      </c>
      <c r="G155" s="14">
        <f>COUNTIFS(Entries!$A$2:$A$741,A155,Entries!$B$2:$B$741,B155,Entries!$F$2:$F$741,"No")</f>
        <v/>
      </c>
      <c r="H155" s="14">
        <f>IF(D155=0,"Not graded",IF(E155&gt;0,"Full",IF(F155&gt;0,"Partial","No")))</f>
        <v/>
      </c>
    </row>
    <row r="156" ht="15" customHeight="1" s="7">
      <c r="A156" s="14" t="inlineStr">
        <is>
          <t>Impact</t>
        </is>
      </c>
      <c r="B156" s="14" t="inlineStr">
        <is>
          <t>T1531</t>
        </is>
      </c>
      <c r="C156" s="14" t="inlineStr">
        <is>
          <t>Account Access Removal</t>
        </is>
      </c>
      <c r="D156" s="14">
        <f>COUNTIFS(Entries!$A$2:$A$741,A156,Entries!$B$2:$B$741,B156)</f>
        <v/>
      </c>
      <c r="E156" s="14">
        <f>COUNTIFS(Entries!$A$2:$A$741,A156,Entries!$B$2:$B$741,B156,Entries!$F$2:$F$741,"Full")</f>
        <v/>
      </c>
      <c r="F156" s="14">
        <f>COUNTIFS(Entries!$A$2:$A$741,A156,Entries!$B$2:$B$741,B156,Entries!$F$2:$F$741,"Partial")</f>
        <v/>
      </c>
      <c r="G156" s="14">
        <f>COUNTIFS(Entries!$A$2:$A$741,A156,Entries!$B$2:$B$741,B156,Entries!$F$2:$F$741,"No")</f>
        <v/>
      </c>
      <c r="H156" s="14">
        <f>IF(D156=0,"Not graded",IF(E156&gt;0,"Full",IF(F156&gt;0,"Partial","No")))</f>
        <v/>
      </c>
    </row>
    <row r="157" ht="15" customHeight="1" s="7">
      <c r="A157" s="14" t="inlineStr">
        <is>
          <t>Impact</t>
        </is>
      </c>
      <c r="B157" s="14" t="inlineStr">
        <is>
          <t>T1561</t>
        </is>
      </c>
      <c r="C157" s="14" t="inlineStr">
        <is>
          <t>Disk Wipe</t>
        </is>
      </c>
      <c r="D157" s="14">
        <f>COUNTIFS(Entries!$A$2:$A$741,A157,Entries!$B$2:$B$741,B157)</f>
        <v/>
      </c>
      <c r="E157" s="14">
        <f>COUNTIFS(Entries!$A$2:$A$741,A157,Entries!$B$2:$B$741,B157,Entries!$F$2:$F$741,"Full")</f>
        <v/>
      </c>
      <c r="F157" s="14">
        <f>COUNTIFS(Entries!$A$2:$A$741,A157,Entries!$B$2:$B$741,B157,Entries!$F$2:$F$741,"Partial")</f>
        <v/>
      </c>
      <c r="G157" s="14">
        <f>COUNTIFS(Entries!$A$2:$A$741,A157,Entries!$B$2:$B$741,B157,Entries!$F$2:$F$741,"No")</f>
        <v/>
      </c>
      <c r="H157" s="14">
        <f>IF(D157=0,"Not graded",IF(E157&gt;0,"Full",IF(F157&gt;0,"Partial","No")))</f>
        <v/>
      </c>
    </row>
    <row r="158" ht="15" customHeight="1" s="7">
      <c r="A158" s="14" t="inlineStr">
        <is>
          <t>Impact</t>
        </is>
      </c>
      <c r="B158" s="14" t="inlineStr">
        <is>
          <t>T1565</t>
        </is>
      </c>
      <c r="C158" s="14" t="inlineStr">
        <is>
          <t>Data Manipulation</t>
        </is>
      </c>
      <c r="D158" s="14">
        <f>COUNTIFS(Entries!$A$2:$A$741,A158,Entries!$B$2:$B$741,B158)</f>
        <v/>
      </c>
      <c r="E158" s="14">
        <f>COUNTIFS(Entries!$A$2:$A$741,A158,Entries!$B$2:$B$741,B158,Entries!$F$2:$F$741,"Full")</f>
        <v/>
      </c>
      <c r="F158" s="14">
        <f>COUNTIFS(Entries!$A$2:$A$741,A158,Entries!$B$2:$B$741,B158,Entries!$F$2:$F$741,"Partial")</f>
        <v/>
      </c>
      <c r="G158" s="14">
        <f>COUNTIFS(Entries!$A$2:$A$741,A158,Entries!$B$2:$B$741,B158,Entries!$F$2:$F$741,"No")</f>
        <v/>
      </c>
      <c r="H158" s="14">
        <f>IF(D158=0,"Not graded",IF(E158&gt;0,"Full",IF(F158&gt;0,"Partial","No")))</f>
        <v/>
      </c>
    </row>
    <row r="159" ht="15" customHeight="1" s="7">
      <c r="A159" s="14" t="inlineStr">
        <is>
          <t>Impact</t>
        </is>
      </c>
      <c r="B159" s="14" t="inlineStr">
        <is>
          <t>T1657</t>
        </is>
      </c>
      <c r="C159" s="14" t="inlineStr">
        <is>
          <t>Financial Theft</t>
        </is>
      </c>
      <c r="D159" s="14">
        <f>COUNTIFS(Entries!$A$2:$A$741,A159,Entries!$B$2:$B$741,B159)</f>
        <v/>
      </c>
      <c r="E159" s="14">
        <f>COUNTIFS(Entries!$A$2:$A$741,A159,Entries!$B$2:$B$741,B159,Entries!$F$2:$F$741,"Full")</f>
        <v/>
      </c>
      <c r="F159" s="14">
        <f>COUNTIFS(Entries!$A$2:$A$741,A159,Entries!$B$2:$B$741,B159,Entries!$F$2:$F$741,"Partial")</f>
        <v/>
      </c>
      <c r="G159" s="14">
        <f>COUNTIFS(Entries!$A$2:$A$741,A159,Entries!$B$2:$B$741,B159,Entries!$F$2:$F$741,"No")</f>
        <v/>
      </c>
      <c r="H159" s="14">
        <f>IF(D159=0,"Not graded",IF(E159&gt;0,"Full",IF(F159&gt;0,"Partial","No")))</f>
        <v/>
      </c>
    </row>
    <row r="160" ht="15" customHeight="1" s="7">
      <c r="A160" s="14" t="inlineStr">
        <is>
          <t>Impact</t>
        </is>
      </c>
      <c r="B160" s="14" t="inlineStr">
        <is>
          <t>T1667</t>
        </is>
      </c>
      <c r="C160" s="14" t="inlineStr">
        <is>
          <t>Email Bombing</t>
        </is>
      </c>
      <c r="D160" s="14">
        <f>COUNTIFS(Entries!$A$2:$A$741,A160,Entries!$B$2:$B$741,B160)</f>
        <v/>
      </c>
      <c r="E160" s="14">
        <f>COUNTIFS(Entries!$A$2:$A$741,A160,Entries!$B$2:$B$741,B160,Entries!$F$2:$F$741,"Full")</f>
        <v/>
      </c>
      <c r="F160" s="14">
        <f>COUNTIFS(Entries!$A$2:$A$741,A160,Entries!$B$2:$B$741,B160,Entries!$F$2:$F$741,"Partial")</f>
        <v/>
      </c>
      <c r="G160" s="14">
        <f>COUNTIFS(Entries!$A$2:$A$741,A160,Entries!$B$2:$B$741,B160,Entries!$F$2:$F$741,"No")</f>
        <v/>
      </c>
      <c r="H160" s="14">
        <f>IF(D160=0,"Not graded",IF(E160&gt;0,"Full",IF(F160&gt;0,"Partial","No")))</f>
        <v/>
      </c>
    </row>
    <row r="161" ht="15" customHeight="1" s="7">
      <c r="A161" s="14" t="inlineStr">
        <is>
          <t>Discovery</t>
        </is>
      </c>
      <c r="B161" s="14" t="inlineStr">
        <is>
          <t>T1007</t>
        </is>
      </c>
      <c r="C161" s="14" t="inlineStr">
        <is>
          <t>System Service Discovery</t>
        </is>
      </c>
      <c r="D161" s="14">
        <f>COUNTIFS(Entries!$A$2:$A$741,A161,Entries!$B$2:$B$741,B161)</f>
        <v/>
      </c>
      <c r="E161" s="14">
        <f>COUNTIFS(Entries!$A$2:$A$741,A161,Entries!$B$2:$B$741,B161,Entries!$F$2:$F$741,"Full")</f>
        <v/>
      </c>
      <c r="F161" s="14">
        <f>COUNTIFS(Entries!$A$2:$A$741,A161,Entries!$B$2:$B$741,B161,Entries!$F$2:$F$741,"Partial")</f>
        <v/>
      </c>
      <c r="G161" s="14">
        <f>COUNTIFS(Entries!$A$2:$A$741,A161,Entries!$B$2:$B$741,B161,Entries!$F$2:$F$741,"No")</f>
        <v/>
      </c>
      <c r="H161" s="14">
        <f>IF(D161=0,"Not graded",IF(E161&gt;0,"Full",IF(F161&gt;0,"Partial","No")))</f>
        <v/>
      </c>
    </row>
    <row r="162" ht="15" customHeight="1" s="7">
      <c r="A162" s="14" t="inlineStr">
        <is>
          <t>Discovery</t>
        </is>
      </c>
      <c r="B162" s="14" t="inlineStr">
        <is>
          <t>T1010</t>
        </is>
      </c>
      <c r="C162" s="14" t="inlineStr">
        <is>
          <t>Application Window Discovery</t>
        </is>
      </c>
      <c r="D162" s="14">
        <f>COUNTIFS(Entries!$A$2:$A$741,A162,Entries!$B$2:$B$741,B162)</f>
        <v/>
      </c>
      <c r="E162" s="14">
        <f>COUNTIFS(Entries!$A$2:$A$741,A162,Entries!$B$2:$B$741,B162,Entries!$F$2:$F$741,"Full")</f>
        <v/>
      </c>
      <c r="F162" s="14">
        <f>COUNTIFS(Entries!$A$2:$A$741,A162,Entries!$B$2:$B$741,B162,Entries!$F$2:$F$741,"Partial")</f>
        <v/>
      </c>
      <c r="G162" s="14">
        <f>COUNTIFS(Entries!$A$2:$A$741,A162,Entries!$B$2:$B$741,B162,Entries!$F$2:$F$741,"No")</f>
        <v/>
      </c>
      <c r="H162" s="14">
        <f>IF(D162=0,"Not graded",IF(E162&gt;0,"Full",IF(F162&gt;0,"Partial","No")))</f>
        <v/>
      </c>
    </row>
    <row r="163" ht="15" customHeight="1" s="7">
      <c r="A163" s="14" t="inlineStr">
        <is>
          <t>Discovery</t>
        </is>
      </c>
      <c r="B163" s="14" t="inlineStr">
        <is>
          <t>T1012</t>
        </is>
      </c>
      <c r="C163" s="14" t="inlineStr">
        <is>
          <t>Query Registry</t>
        </is>
      </c>
      <c r="D163" s="14">
        <f>COUNTIFS(Entries!$A$2:$A$741,A163,Entries!$B$2:$B$741,B163)</f>
        <v/>
      </c>
      <c r="E163" s="14">
        <f>COUNTIFS(Entries!$A$2:$A$741,A163,Entries!$B$2:$B$741,B163,Entries!$F$2:$F$741,"Full")</f>
        <v/>
      </c>
      <c r="F163" s="14">
        <f>COUNTIFS(Entries!$A$2:$A$741,A163,Entries!$B$2:$B$741,B163,Entries!$F$2:$F$741,"Partial")</f>
        <v/>
      </c>
      <c r="G163" s="14">
        <f>COUNTIFS(Entries!$A$2:$A$741,A163,Entries!$B$2:$B$741,B163,Entries!$F$2:$F$741,"No")</f>
        <v/>
      </c>
      <c r="H163" s="14">
        <f>IF(D163=0,"Not graded",IF(E163&gt;0,"Full",IF(F163&gt;0,"Partial","No")))</f>
        <v/>
      </c>
    </row>
    <row r="164" ht="15" customHeight="1" s="7">
      <c r="A164" s="14" t="inlineStr">
        <is>
          <t>Discovery</t>
        </is>
      </c>
      <c r="B164" s="14" t="inlineStr">
        <is>
          <t>T1016</t>
        </is>
      </c>
      <c r="C164" s="14" t="inlineStr">
        <is>
          <t>System Network Configuration Discovery</t>
        </is>
      </c>
      <c r="D164" s="14">
        <f>COUNTIFS(Entries!$A$2:$A$741,A164,Entries!$B$2:$B$741,B164)</f>
        <v/>
      </c>
      <c r="E164" s="14">
        <f>COUNTIFS(Entries!$A$2:$A$741,A164,Entries!$B$2:$B$741,B164,Entries!$F$2:$F$741,"Full")</f>
        <v/>
      </c>
      <c r="F164" s="14">
        <f>COUNTIFS(Entries!$A$2:$A$741,A164,Entries!$B$2:$B$741,B164,Entries!$F$2:$F$741,"Partial")</f>
        <v/>
      </c>
      <c r="G164" s="14">
        <f>COUNTIFS(Entries!$A$2:$A$741,A164,Entries!$B$2:$B$741,B164,Entries!$F$2:$F$741,"No")</f>
        <v/>
      </c>
      <c r="H164" s="14">
        <f>IF(D164=0,"Not graded",IF(E164&gt;0,"Full",IF(F164&gt;0,"Partial","No")))</f>
        <v/>
      </c>
    </row>
    <row r="165" ht="15" customHeight="1" s="7">
      <c r="A165" s="14" t="inlineStr">
        <is>
          <t>Discovery</t>
        </is>
      </c>
      <c r="B165" s="14" t="inlineStr">
        <is>
          <t>T1018</t>
        </is>
      </c>
      <c r="C165" s="14" t="inlineStr">
        <is>
          <t>Remote System Discovery</t>
        </is>
      </c>
      <c r="D165" s="14">
        <f>COUNTIFS(Entries!$A$2:$A$741,A165,Entries!$B$2:$B$741,B165)</f>
        <v/>
      </c>
      <c r="E165" s="14">
        <f>COUNTIFS(Entries!$A$2:$A$741,A165,Entries!$B$2:$B$741,B165,Entries!$F$2:$F$741,"Full")</f>
        <v/>
      </c>
      <c r="F165" s="14">
        <f>COUNTIFS(Entries!$A$2:$A$741,A165,Entries!$B$2:$B$741,B165,Entries!$F$2:$F$741,"Partial")</f>
        <v/>
      </c>
      <c r="G165" s="14">
        <f>COUNTIFS(Entries!$A$2:$A$741,A165,Entries!$B$2:$B$741,B165,Entries!$F$2:$F$741,"No")</f>
        <v/>
      </c>
      <c r="H165" s="14">
        <f>IF(D165=0,"Not graded",IF(E165&gt;0,"Full",IF(F165&gt;0,"Partial","No")))</f>
        <v/>
      </c>
    </row>
    <row r="166" ht="15" customHeight="1" s="7">
      <c r="A166" s="14" t="inlineStr">
        <is>
          <t>Discovery</t>
        </is>
      </c>
      <c r="B166" s="14" t="inlineStr">
        <is>
          <t>T1033</t>
        </is>
      </c>
      <c r="C166" s="14" t="inlineStr">
        <is>
          <t>System Owner/User Discovery</t>
        </is>
      </c>
      <c r="D166" s="14">
        <f>COUNTIFS(Entries!$A$2:$A$741,A166,Entries!$B$2:$B$741,B166)</f>
        <v/>
      </c>
      <c r="E166" s="14">
        <f>COUNTIFS(Entries!$A$2:$A$741,A166,Entries!$B$2:$B$741,B166,Entries!$F$2:$F$741,"Full")</f>
        <v/>
      </c>
      <c r="F166" s="14">
        <f>COUNTIFS(Entries!$A$2:$A$741,A166,Entries!$B$2:$B$741,B166,Entries!$F$2:$F$741,"Partial")</f>
        <v/>
      </c>
      <c r="G166" s="14">
        <f>COUNTIFS(Entries!$A$2:$A$741,A166,Entries!$B$2:$B$741,B166,Entries!$F$2:$F$741,"No")</f>
        <v/>
      </c>
      <c r="H166" s="14">
        <f>IF(D166=0,"Not graded",IF(E166&gt;0,"Full",IF(F166&gt;0,"Partial","No")))</f>
        <v/>
      </c>
    </row>
    <row r="167" ht="15" customHeight="1" s="7">
      <c r="A167" s="14" t="inlineStr">
        <is>
          <t>Discovery</t>
        </is>
      </c>
      <c r="B167" s="14" t="inlineStr">
        <is>
          <t>T1040</t>
        </is>
      </c>
      <c r="C167" s="14" t="inlineStr">
        <is>
          <t>Network Sniffing</t>
        </is>
      </c>
      <c r="D167" s="14">
        <f>COUNTIFS(Entries!$A$2:$A$741,A167,Entries!$B$2:$B$741,B167)</f>
        <v/>
      </c>
      <c r="E167" s="14">
        <f>COUNTIFS(Entries!$A$2:$A$741,A167,Entries!$B$2:$B$741,B167,Entries!$F$2:$F$741,"Full")</f>
        <v/>
      </c>
      <c r="F167" s="14">
        <f>COUNTIFS(Entries!$A$2:$A$741,A167,Entries!$B$2:$B$741,B167,Entries!$F$2:$F$741,"Partial")</f>
        <v/>
      </c>
      <c r="G167" s="14">
        <f>COUNTIFS(Entries!$A$2:$A$741,A167,Entries!$B$2:$B$741,B167,Entries!$F$2:$F$741,"No")</f>
        <v/>
      </c>
      <c r="H167" s="14">
        <f>IF(D167=0,"Not graded",IF(E167&gt;0,"Full",IF(F167&gt;0,"Partial","No")))</f>
        <v/>
      </c>
    </row>
    <row r="168" ht="15" customHeight="1" s="7">
      <c r="A168" s="14" t="inlineStr">
        <is>
          <t>Discovery</t>
        </is>
      </c>
      <c r="B168" s="14" t="inlineStr">
        <is>
          <t>T1046</t>
        </is>
      </c>
      <c r="C168" s="14" t="inlineStr">
        <is>
          <t>Network Service Discovery</t>
        </is>
      </c>
      <c r="D168" s="14">
        <f>COUNTIFS(Entries!$A$2:$A$741,A168,Entries!$B$2:$B$741,B168)</f>
        <v/>
      </c>
      <c r="E168" s="14">
        <f>COUNTIFS(Entries!$A$2:$A$741,A168,Entries!$B$2:$B$741,B168,Entries!$F$2:$F$741,"Full")</f>
        <v/>
      </c>
      <c r="F168" s="14">
        <f>COUNTIFS(Entries!$A$2:$A$741,A168,Entries!$B$2:$B$741,B168,Entries!$F$2:$F$741,"Partial")</f>
        <v/>
      </c>
      <c r="G168" s="14">
        <f>COUNTIFS(Entries!$A$2:$A$741,A168,Entries!$B$2:$B$741,B168,Entries!$F$2:$F$741,"No")</f>
        <v/>
      </c>
      <c r="H168" s="14">
        <f>IF(D168=0,"Not graded",IF(E168&gt;0,"Full",IF(F168&gt;0,"Partial","No")))</f>
        <v/>
      </c>
    </row>
    <row r="169" ht="15" customHeight="1" s="7">
      <c r="A169" s="14" t="inlineStr">
        <is>
          <t>Discovery</t>
        </is>
      </c>
      <c r="B169" s="14" t="inlineStr">
        <is>
          <t>T1049</t>
        </is>
      </c>
      <c r="C169" s="14" t="inlineStr">
        <is>
          <t>System Network Connections Discovery</t>
        </is>
      </c>
      <c r="D169" s="14">
        <f>COUNTIFS(Entries!$A$2:$A$741,A169,Entries!$B$2:$B$741,B169)</f>
        <v/>
      </c>
      <c r="E169" s="14">
        <f>COUNTIFS(Entries!$A$2:$A$741,A169,Entries!$B$2:$B$741,B169,Entries!$F$2:$F$741,"Full")</f>
        <v/>
      </c>
      <c r="F169" s="14">
        <f>COUNTIFS(Entries!$A$2:$A$741,A169,Entries!$B$2:$B$741,B169,Entries!$F$2:$F$741,"Partial")</f>
        <v/>
      </c>
      <c r="G169" s="14">
        <f>COUNTIFS(Entries!$A$2:$A$741,A169,Entries!$B$2:$B$741,B169,Entries!$F$2:$F$741,"No")</f>
        <v/>
      </c>
      <c r="H169" s="14">
        <f>IF(D169=0,"Not graded",IF(E169&gt;0,"Full",IF(F169&gt;0,"Partial","No")))</f>
        <v/>
      </c>
    </row>
    <row r="170" ht="15" customHeight="1" s="7">
      <c r="A170" s="14" t="inlineStr">
        <is>
          <t>Discovery</t>
        </is>
      </c>
      <c r="B170" s="14" t="inlineStr">
        <is>
          <t>T1057</t>
        </is>
      </c>
      <c r="C170" s="14" t="inlineStr">
        <is>
          <t>Process Discovery</t>
        </is>
      </c>
      <c r="D170" s="14">
        <f>COUNTIFS(Entries!$A$2:$A$741,A170,Entries!$B$2:$B$741,B170)</f>
        <v/>
      </c>
      <c r="E170" s="14">
        <f>COUNTIFS(Entries!$A$2:$A$741,A170,Entries!$B$2:$B$741,B170,Entries!$F$2:$F$741,"Full")</f>
        <v/>
      </c>
      <c r="F170" s="14">
        <f>COUNTIFS(Entries!$A$2:$A$741,A170,Entries!$B$2:$B$741,B170,Entries!$F$2:$F$741,"Partial")</f>
        <v/>
      </c>
      <c r="G170" s="14">
        <f>COUNTIFS(Entries!$A$2:$A$741,A170,Entries!$B$2:$B$741,B170,Entries!$F$2:$F$741,"No")</f>
        <v/>
      </c>
      <c r="H170" s="14">
        <f>IF(D170=0,"Not graded",IF(E170&gt;0,"Full",IF(F170&gt;0,"Partial","No")))</f>
        <v/>
      </c>
    </row>
    <row r="171" ht="15" customHeight="1" s="7">
      <c r="A171" s="14" t="inlineStr">
        <is>
          <t>Discovery</t>
        </is>
      </c>
      <c r="B171" s="14" t="inlineStr">
        <is>
          <t>T1069</t>
        </is>
      </c>
      <c r="C171" s="14" t="inlineStr">
        <is>
          <t>Permission Groups Discovery</t>
        </is>
      </c>
      <c r="D171" s="14">
        <f>COUNTIFS(Entries!$A$2:$A$741,A171,Entries!$B$2:$B$741,B171)</f>
        <v/>
      </c>
      <c r="E171" s="14">
        <f>COUNTIFS(Entries!$A$2:$A$741,A171,Entries!$B$2:$B$741,B171,Entries!$F$2:$F$741,"Full")</f>
        <v/>
      </c>
      <c r="F171" s="14">
        <f>COUNTIFS(Entries!$A$2:$A$741,A171,Entries!$B$2:$B$741,B171,Entries!$F$2:$F$741,"Partial")</f>
        <v/>
      </c>
      <c r="G171" s="14">
        <f>COUNTIFS(Entries!$A$2:$A$741,A171,Entries!$B$2:$B$741,B171,Entries!$F$2:$F$741,"No")</f>
        <v/>
      </c>
      <c r="H171" s="14">
        <f>IF(D171=0,"Not graded",IF(E171&gt;0,"Full",IF(F171&gt;0,"Partial","No")))</f>
        <v/>
      </c>
    </row>
    <row r="172" ht="15" customHeight="1" s="7">
      <c r="A172" s="14" t="inlineStr">
        <is>
          <t>Discovery</t>
        </is>
      </c>
      <c r="B172" s="14" t="inlineStr">
        <is>
          <t>T1082</t>
        </is>
      </c>
      <c r="C172" s="14" t="inlineStr">
        <is>
          <t>System Information Discovery</t>
        </is>
      </c>
      <c r="D172" s="14">
        <f>COUNTIFS(Entries!$A$2:$A$741,A172,Entries!$B$2:$B$741,B172)</f>
        <v/>
      </c>
      <c r="E172" s="14">
        <f>COUNTIFS(Entries!$A$2:$A$741,A172,Entries!$B$2:$B$741,B172,Entries!$F$2:$F$741,"Full")</f>
        <v/>
      </c>
      <c r="F172" s="14">
        <f>COUNTIFS(Entries!$A$2:$A$741,A172,Entries!$B$2:$B$741,B172,Entries!$F$2:$F$741,"Partial")</f>
        <v/>
      </c>
      <c r="G172" s="14">
        <f>COUNTIFS(Entries!$A$2:$A$741,A172,Entries!$B$2:$B$741,B172,Entries!$F$2:$F$741,"No")</f>
        <v/>
      </c>
      <c r="H172" s="14">
        <f>IF(D172=0,"Not graded",IF(E172&gt;0,"Full",IF(F172&gt;0,"Partial","No")))</f>
        <v/>
      </c>
    </row>
    <row r="173" ht="15" customHeight="1" s="7">
      <c r="A173" s="14" t="inlineStr">
        <is>
          <t>Discovery</t>
        </is>
      </c>
      <c r="B173" s="14" t="inlineStr">
        <is>
          <t>T1083</t>
        </is>
      </c>
      <c r="C173" s="14" t="inlineStr">
        <is>
          <t>File and Directory Discovery</t>
        </is>
      </c>
      <c r="D173" s="14">
        <f>COUNTIFS(Entries!$A$2:$A$741,A173,Entries!$B$2:$B$741,B173)</f>
        <v/>
      </c>
      <c r="E173" s="14">
        <f>COUNTIFS(Entries!$A$2:$A$741,A173,Entries!$B$2:$B$741,B173,Entries!$F$2:$F$741,"Full")</f>
        <v/>
      </c>
      <c r="F173" s="14">
        <f>COUNTIFS(Entries!$A$2:$A$741,A173,Entries!$B$2:$B$741,B173,Entries!$F$2:$F$741,"Partial")</f>
        <v/>
      </c>
      <c r="G173" s="14">
        <f>COUNTIFS(Entries!$A$2:$A$741,A173,Entries!$B$2:$B$741,B173,Entries!$F$2:$F$741,"No")</f>
        <v/>
      </c>
      <c r="H173" s="14">
        <f>IF(D173=0,"Not graded",IF(E173&gt;0,"Full",IF(F173&gt;0,"Partial","No")))</f>
        <v/>
      </c>
    </row>
    <row r="174" ht="15" customHeight="1" s="7">
      <c r="A174" s="14" t="inlineStr">
        <is>
          <t>Discovery</t>
        </is>
      </c>
      <c r="B174" s="14" t="inlineStr">
        <is>
          <t>T1087</t>
        </is>
      </c>
      <c r="C174" s="14" t="inlineStr">
        <is>
          <t>Account Discovery</t>
        </is>
      </c>
      <c r="D174" s="14">
        <f>COUNTIFS(Entries!$A$2:$A$741,A174,Entries!$B$2:$B$741,B174)</f>
        <v/>
      </c>
      <c r="E174" s="14">
        <f>COUNTIFS(Entries!$A$2:$A$741,A174,Entries!$B$2:$B$741,B174,Entries!$F$2:$F$741,"Full")</f>
        <v/>
      </c>
      <c r="F174" s="14">
        <f>COUNTIFS(Entries!$A$2:$A$741,A174,Entries!$B$2:$B$741,B174,Entries!$F$2:$F$741,"Partial")</f>
        <v/>
      </c>
      <c r="G174" s="14">
        <f>COUNTIFS(Entries!$A$2:$A$741,A174,Entries!$B$2:$B$741,B174,Entries!$F$2:$F$741,"No")</f>
        <v/>
      </c>
      <c r="H174" s="14">
        <f>IF(D174=0,"Not graded",IF(E174&gt;0,"Full",IF(F174&gt;0,"Partial","No")))</f>
        <v/>
      </c>
    </row>
    <row r="175" ht="15" customHeight="1" s="7">
      <c r="A175" s="14" t="inlineStr">
        <is>
          <t>Discovery</t>
        </is>
      </c>
      <c r="B175" s="14" t="inlineStr">
        <is>
          <t>T1120</t>
        </is>
      </c>
      <c r="C175" s="14" t="inlineStr">
        <is>
          <t>Peripheral Device Discovery</t>
        </is>
      </c>
      <c r="D175" s="14">
        <f>COUNTIFS(Entries!$A$2:$A$741,A175,Entries!$B$2:$B$741,B175)</f>
        <v/>
      </c>
      <c r="E175" s="14">
        <f>COUNTIFS(Entries!$A$2:$A$741,A175,Entries!$B$2:$B$741,B175,Entries!$F$2:$F$741,"Full")</f>
        <v/>
      </c>
      <c r="F175" s="14">
        <f>COUNTIFS(Entries!$A$2:$A$741,A175,Entries!$B$2:$B$741,B175,Entries!$F$2:$F$741,"Partial")</f>
        <v/>
      </c>
      <c r="G175" s="14">
        <f>COUNTIFS(Entries!$A$2:$A$741,A175,Entries!$B$2:$B$741,B175,Entries!$F$2:$F$741,"No")</f>
        <v/>
      </c>
      <c r="H175" s="14">
        <f>IF(D175=0,"Not graded",IF(E175&gt;0,"Full",IF(F175&gt;0,"Partial","No")))</f>
        <v/>
      </c>
    </row>
    <row r="176" ht="15" customHeight="1" s="7">
      <c r="A176" s="14" t="inlineStr">
        <is>
          <t>Discovery</t>
        </is>
      </c>
      <c r="B176" s="14" t="inlineStr">
        <is>
          <t>T1124</t>
        </is>
      </c>
      <c r="C176" s="14" t="inlineStr">
        <is>
          <t>System Time Discovery</t>
        </is>
      </c>
      <c r="D176" s="14">
        <f>COUNTIFS(Entries!$A$2:$A$741,A176,Entries!$B$2:$B$741,B176)</f>
        <v/>
      </c>
      <c r="E176" s="14">
        <f>COUNTIFS(Entries!$A$2:$A$741,A176,Entries!$B$2:$B$741,B176,Entries!$F$2:$F$741,"Full")</f>
        <v/>
      </c>
      <c r="F176" s="14">
        <f>COUNTIFS(Entries!$A$2:$A$741,A176,Entries!$B$2:$B$741,B176,Entries!$F$2:$F$741,"Partial")</f>
        <v/>
      </c>
      <c r="G176" s="14">
        <f>COUNTIFS(Entries!$A$2:$A$741,A176,Entries!$B$2:$B$741,B176,Entries!$F$2:$F$741,"No")</f>
        <v/>
      </c>
      <c r="H176" s="14">
        <f>IF(D176=0,"Not graded",IF(E176&gt;0,"Full",IF(F176&gt;0,"Partial","No")))</f>
        <v/>
      </c>
    </row>
    <row r="177" ht="15" customHeight="1" s="7">
      <c r="A177" s="14" t="inlineStr">
        <is>
          <t>Discovery</t>
        </is>
      </c>
      <c r="B177" s="14" t="inlineStr">
        <is>
          <t>T1135</t>
        </is>
      </c>
      <c r="C177" s="14" t="inlineStr">
        <is>
          <t>Network Share Discovery</t>
        </is>
      </c>
      <c r="D177" s="14">
        <f>COUNTIFS(Entries!$A$2:$A$741,A177,Entries!$B$2:$B$741,B177)</f>
        <v/>
      </c>
      <c r="E177" s="14">
        <f>COUNTIFS(Entries!$A$2:$A$741,A177,Entries!$B$2:$B$741,B177,Entries!$F$2:$F$741,"Full")</f>
        <v/>
      </c>
      <c r="F177" s="14">
        <f>COUNTIFS(Entries!$A$2:$A$741,A177,Entries!$B$2:$B$741,B177,Entries!$F$2:$F$741,"Partial")</f>
        <v/>
      </c>
      <c r="G177" s="14">
        <f>COUNTIFS(Entries!$A$2:$A$741,A177,Entries!$B$2:$B$741,B177,Entries!$F$2:$F$741,"No")</f>
        <v/>
      </c>
      <c r="H177" s="14">
        <f>IF(D177=0,"Not graded",IF(E177&gt;0,"Full",IF(F177&gt;0,"Partial","No")))</f>
        <v/>
      </c>
    </row>
    <row r="178" ht="15" customHeight="1" s="7">
      <c r="A178" s="14" t="inlineStr">
        <is>
          <t>Discovery</t>
        </is>
      </c>
      <c r="B178" s="14" t="inlineStr">
        <is>
          <t>T1201</t>
        </is>
      </c>
      <c r="C178" s="14" t="inlineStr">
        <is>
          <t>Password Policy Discovery</t>
        </is>
      </c>
      <c r="D178" s="14">
        <f>COUNTIFS(Entries!$A$2:$A$741,A178,Entries!$B$2:$B$741,B178)</f>
        <v/>
      </c>
      <c r="E178" s="14">
        <f>COUNTIFS(Entries!$A$2:$A$741,A178,Entries!$B$2:$B$741,B178,Entries!$F$2:$F$741,"Full")</f>
        <v/>
      </c>
      <c r="F178" s="14">
        <f>COUNTIFS(Entries!$A$2:$A$741,A178,Entries!$B$2:$B$741,B178,Entries!$F$2:$F$741,"Partial")</f>
        <v/>
      </c>
      <c r="G178" s="14">
        <f>COUNTIFS(Entries!$A$2:$A$741,A178,Entries!$B$2:$B$741,B178,Entries!$F$2:$F$741,"No")</f>
        <v/>
      </c>
      <c r="H178" s="14">
        <f>IF(D178=0,"Not graded",IF(E178&gt;0,"Full",IF(F178&gt;0,"Partial","No")))</f>
        <v/>
      </c>
    </row>
    <row r="179" ht="15" customHeight="1" s="7">
      <c r="A179" s="14" t="inlineStr">
        <is>
          <t>Discovery</t>
        </is>
      </c>
      <c r="B179" s="14" t="inlineStr">
        <is>
          <t>T1217</t>
        </is>
      </c>
      <c r="C179" s="14" t="inlineStr">
        <is>
          <t>Browser Information Discovery</t>
        </is>
      </c>
      <c r="D179" s="14">
        <f>COUNTIFS(Entries!$A$2:$A$741,A179,Entries!$B$2:$B$741,B179)</f>
        <v/>
      </c>
      <c r="E179" s="14">
        <f>COUNTIFS(Entries!$A$2:$A$741,A179,Entries!$B$2:$B$741,B179,Entries!$F$2:$F$741,"Full")</f>
        <v/>
      </c>
      <c r="F179" s="14">
        <f>COUNTIFS(Entries!$A$2:$A$741,A179,Entries!$B$2:$B$741,B179,Entries!$F$2:$F$741,"Partial")</f>
        <v/>
      </c>
      <c r="G179" s="14">
        <f>COUNTIFS(Entries!$A$2:$A$741,A179,Entries!$B$2:$B$741,B179,Entries!$F$2:$F$741,"No")</f>
        <v/>
      </c>
      <c r="H179" s="14">
        <f>IF(D179=0,"Not graded",IF(E179&gt;0,"Full",IF(F179&gt;0,"Partial","No")))</f>
        <v/>
      </c>
    </row>
    <row r="180" ht="15" customHeight="1" s="7">
      <c r="A180" s="14" t="inlineStr">
        <is>
          <t>Discovery</t>
        </is>
      </c>
      <c r="B180" s="14" t="inlineStr">
        <is>
          <t>T1482</t>
        </is>
      </c>
      <c r="C180" s="14" t="inlineStr">
        <is>
          <t>Domain Trust Discovery</t>
        </is>
      </c>
      <c r="D180" s="14">
        <f>COUNTIFS(Entries!$A$2:$A$741,A180,Entries!$B$2:$B$741,B180)</f>
        <v/>
      </c>
      <c r="E180" s="14">
        <f>COUNTIFS(Entries!$A$2:$A$741,A180,Entries!$B$2:$B$741,B180,Entries!$F$2:$F$741,"Full")</f>
        <v/>
      </c>
      <c r="F180" s="14">
        <f>COUNTIFS(Entries!$A$2:$A$741,A180,Entries!$B$2:$B$741,B180,Entries!$F$2:$F$741,"Partial")</f>
        <v/>
      </c>
      <c r="G180" s="14">
        <f>COUNTIFS(Entries!$A$2:$A$741,A180,Entries!$B$2:$B$741,B180,Entries!$F$2:$F$741,"No")</f>
        <v/>
      </c>
      <c r="H180" s="14">
        <f>IF(D180=0,"Not graded",IF(E180&gt;0,"Full",IF(F180&gt;0,"Partial","No")))</f>
        <v/>
      </c>
    </row>
    <row r="181" ht="15" customHeight="1" s="7">
      <c r="A181" s="14" t="inlineStr">
        <is>
          <t>Discovery</t>
        </is>
      </c>
      <c r="B181" s="14" t="inlineStr">
        <is>
          <t>T1497</t>
        </is>
      </c>
      <c r="C181" s="14" t="inlineStr">
        <is>
          <t>Virtualization/Sandbox Evasion</t>
        </is>
      </c>
      <c r="D181" s="14">
        <f>COUNTIFS(Entries!$A$2:$A$741,A181,Entries!$B$2:$B$741,B181)</f>
        <v/>
      </c>
      <c r="E181" s="14">
        <f>COUNTIFS(Entries!$A$2:$A$741,A181,Entries!$B$2:$B$741,B181,Entries!$F$2:$F$741,"Full")</f>
        <v/>
      </c>
      <c r="F181" s="14">
        <f>COUNTIFS(Entries!$A$2:$A$741,A181,Entries!$B$2:$B$741,B181,Entries!$F$2:$F$741,"Partial")</f>
        <v/>
      </c>
      <c r="G181" s="14">
        <f>COUNTIFS(Entries!$A$2:$A$741,A181,Entries!$B$2:$B$741,B181,Entries!$F$2:$F$741,"No")</f>
        <v/>
      </c>
      <c r="H181" s="14">
        <f>IF(D181=0,"Not graded",IF(E181&gt;0,"Full",IF(F181&gt;0,"Partial","No")))</f>
        <v/>
      </c>
    </row>
    <row r="182" ht="15" customHeight="1" s="7">
      <c r="A182" s="14" t="inlineStr">
        <is>
          <t>Discovery</t>
        </is>
      </c>
      <c r="B182" s="14" t="inlineStr">
        <is>
          <t>T1518</t>
        </is>
      </c>
      <c r="C182" s="14" t="inlineStr">
        <is>
          <t>Software Discovery</t>
        </is>
      </c>
      <c r="D182" s="14">
        <f>COUNTIFS(Entries!$A$2:$A$741,A182,Entries!$B$2:$B$741,B182)</f>
        <v/>
      </c>
      <c r="E182" s="14">
        <f>COUNTIFS(Entries!$A$2:$A$741,A182,Entries!$B$2:$B$741,B182,Entries!$F$2:$F$741,"Full")</f>
        <v/>
      </c>
      <c r="F182" s="14">
        <f>COUNTIFS(Entries!$A$2:$A$741,A182,Entries!$B$2:$B$741,B182,Entries!$F$2:$F$741,"Partial")</f>
        <v/>
      </c>
      <c r="G182" s="14">
        <f>COUNTIFS(Entries!$A$2:$A$741,A182,Entries!$B$2:$B$741,B182,Entries!$F$2:$F$741,"No")</f>
        <v/>
      </c>
      <c r="H182" s="14">
        <f>IF(D182=0,"Not graded",IF(E182&gt;0,"Full",IF(F182&gt;0,"Partial","No")))</f>
        <v/>
      </c>
    </row>
    <row r="183" ht="15" customHeight="1" s="7">
      <c r="A183" s="14" t="inlineStr">
        <is>
          <t>Discovery</t>
        </is>
      </c>
      <c r="B183" s="14" t="inlineStr">
        <is>
          <t>T1526</t>
        </is>
      </c>
      <c r="C183" s="14" t="inlineStr">
        <is>
          <t>Cloud Service Discovery</t>
        </is>
      </c>
      <c r="D183" s="14">
        <f>COUNTIFS(Entries!$A$2:$A$741,A183,Entries!$B$2:$B$741,B183)</f>
        <v/>
      </c>
      <c r="E183" s="14">
        <f>COUNTIFS(Entries!$A$2:$A$741,A183,Entries!$B$2:$B$741,B183,Entries!$F$2:$F$741,"Full")</f>
        <v/>
      </c>
      <c r="F183" s="14">
        <f>COUNTIFS(Entries!$A$2:$A$741,A183,Entries!$B$2:$B$741,B183,Entries!$F$2:$F$741,"Partial")</f>
        <v/>
      </c>
      <c r="G183" s="14">
        <f>COUNTIFS(Entries!$A$2:$A$741,A183,Entries!$B$2:$B$741,B183,Entries!$F$2:$F$741,"No")</f>
        <v/>
      </c>
      <c r="H183" s="14">
        <f>IF(D183=0,"Not graded",IF(E183&gt;0,"Full",IF(F183&gt;0,"Partial","No")))</f>
        <v/>
      </c>
    </row>
    <row r="184" ht="15" customHeight="1" s="7">
      <c r="A184" s="14" t="inlineStr">
        <is>
          <t>Discovery</t>
        </is>
      </c>
      <c r="B184" s="14" t="inlineStr">
        <is>
          <t>T1538</t>
        </is>
      </c>
      <c r="C184" s="14" t="inlineStr">
        <is>
          <t>Cloud Service Dashboard</t>
        </is>
      </c>
      <c r="D184" s="14">
        <f>COUNTIFS(Entries!$A$2:$A$741,A184,Entries!$B$2:$B$741,B184)</f>
        <v/>
      </c>
      <c r="E184" s="14">
        <f>COUNTIFS(Entries!$A$2:$A$741,A184,Entries!$B$2:$B$741,B184,Entries!$F$2:$F$741,"Full")</f>
        <v/>
      </c>
      <c r="F184" s="14">
        <f>COUNTIFS(Entries!$A$2:$A$741,A184,Entries!$B$2:$B$741,B184,Entries!$F$2:$F$741,"Partial")</f>
        <v/>
      </c>
      <c r="G184" s="14">
        <f>COUNTIFS(Entries!$A$2:$A$741,A184,Entries!$B$2:$B$741,B184,Entries!$F$2:$F$741,"No")</f>
        <v/>
      </c>
      <c r="H184" s="14">
        <f>IF(D184=0,"Not graded",IF(E184&gt;0,"Full",IF(F184&gt;0,"Partial","No")))</f>
        <v/>
      </c>
    </row>
    <row r="185" ht="15" customHeight="1" s="7">
      <c r="A185" s="14" t="inlineStr">
        <is>
          <t>Discovery</t>
        </is>
      </c>
      <c r="B185" s="14" t="inlineStr">
        <is>
          <t>T1580</t>
        </is>
      </c>
      <c r="C185" s="14" t="inlineStr">
        <is>
          <t>Cloud Infrastructure Discovery</t>
        </is>
      </c>
      <c r="D185" s="14">
        <f>COUNTIFS(Entries!$A$2:$A$741,A185,Entries!$B$2:$B$741,B185)</f>
        <v/>
      </c>
      <c r="E185" s="14">
        <f>COUNTIFS(Entries!$A$2:$A$741,A185,Entries!$B$2:$B$741,B185,Entries!$F$2:$F$741,"Full")</f>
        <v/>
      </c>
      <c r="F185" s="14">
        <f>COUNTIFS(Entries!$A$2:$A$741,A185,Entries!$B$2:$B$741,B185,Entries!$F$2:$F$741,"Partial")</f>
        <v/>
      </c>
      <c r="G185" s="14">
        <f>COUNTIFS(Entries!$A$2:$A$741,A185,Entries!$B$2:$B$741,B185,Entries!$F$2:$F$741,"No")</f>
        <v/>
      </c>
      <c r="H185" s="14">
        <f>IF(D185=0,"Not graded",IF(E185&gt;0,"Full",IF(F185&gt;0,"Partial","No")))</f>
        <v/>
      </c>
    </row>
    <row r="186" ht="15" customHeight="1" s="7">
      <c r="A186" s="14" t="inlineStr">
        <is>
          <t>Discovery</t>
        </is>
      </c>
      <c r="B186" s="14" t="inlineStr">
        <is>
          <t>T1613</t>
        </is>
      </c>
      <c r="C186" s="14" t="inlineStr">
        <is>
          <t>Container and Resource Discovery</t>
        </is>
      </c>
      <c r="D186" s="14">
        <f>COUNTIFS(Entries!$A$2:$A$741,A186,Entries!$B$2:$B$741,B186)</f>
        <v/>
      </c>
      <c r="E186" s="14">
        <f>COUNTIFS(Entries!$A$2:$A$741,A186,Entries!$B$2:$B$741,B186,Entries!$F$2:$F$741,"Full")</f>
        <v/>
      </c>
      <c r="F186" s="14">
        <f>COUNTIFS(Entries!$A$2:$A$741,A186,Entries!$B$2:$B$741,B186,Entries!$F$2:$F$741,"Partial")</f>
        <v/>
      </c>
      <c r="G186" s="14">
        <f>COUNTIFS(Entries!$A$2:$A$741,A186,Entries!$B$2:$B$741,B186,Entries!$F$2:$F$741,"No")</f>
        <v/>
      </c>
      <c r="H186" s="14">
        <f>IF(D186=0,"Not graded",IF(E186&gt;0,"Full",IF(F186&gt;0,"Partial","No")))</f>
        <v/>
      </c>
    </row>
    <row r="187" ht="15" customHeight="1" s="7">
      <c r="A187" s="14" t="inlineStr">
        <is>
          <t>Discovery</t>
        </is>
      </c>
      <c r="B187" s="14" t="inlineStr">
        <is>
          <t>T1614</t>
        </is>
      </c>
      <c r="C187" s="14" t="inlineStr">
        <is>
          <t>System Location Discovery</t>
        </is>
      </c>
      <c r="D187" s="14">
        <f>COUNTIFS(Entries!$A$2:$A$741,A187,Entries!$B$2:$B$741,B187)</f>
        <v/>
      </c>
      <c r="E187" s="14">
        <f>COUNTIFS(Entries!$A$2:$A$741,A187,Entries!$B$2:$B$741,B187,Entries!$F$2:$F$741,"Full")</f>
        <v/>
      </c>
      <c r="F187" s="14">
        <f>COUNTIFS(Entries!$A$2:$A$741,A187,Entries!$B$2:$B$741,B187,Entries!$F$2:$F$741,"Partial")</f>
        <v/>
      </c>
      <c r="G187" s="14">
        <f>COUNTIFS(Entries!$A$2:$A$741,A187,Entries!$B$2:$B$741,B187,Entries!$F$2:$F$741,"No")</f>
        <v/>
      </c>
      <c r="H187" s="14">
        <f>IF(D187=0,"Not graded",IF(E187&gt;0,"Full",IF(F187&gt;0,"Partial","No")))</f>
        <v/>
      </c>
    </row>
    <row r="188" ht="15" customHeight="1" s="7">
      <c r="A188" s="14" t="inlineStr">
        <is>
          <t>Discovery</t>
        </is>
      </c>
      <c r="B188" s="14" t="inlineStr">
        <is>
          <t>T1615</t>
        </is>
      </c>
      <c r="C188" s="14" t="inlineStr">
        <is>
          <t>Group Policy Discovery</t>
        </is>
      </c>
      <c r="D188" s="14">
        <f>COUNTIFS(Entries!$A$2:$A$741,A188,Entries!$B$2:$B$741,B188)</f>
        <v/>
      </c>
      <c r="E188" s="14">
        <f>COUNTIFS(Entries!$A$2:$A$741,A188,Entries!$B$2:$B$741,B188,Entries!$F$2:$F$741,"Full")</f>
        <v/>
      </c>
      <c r="F188" s="14">
        <f>COUNTIFS(Entries!$A$2:$A$741,A188,Entries!$B$2:$B$741,B188,Entries!$F$2:$F$741,"Partial")</f>
        <v/>
      </c>
      <c r="G188" s="14">
        <f>COUNTIFS(Entries!$A$2:$A$741,A188,Entries!$B$2:$B$741,B188,Entries!$F$2:$F$741,"No")</f>
        <v/>
      </c>
      <c r="H188" s="14">
        <f>IF(D188=0,"Not graded",IF(E188&gt;0,"Full",IF(F188&gt;0,"Partial","No")))</f>
        <v/>
      </c>
    </row>
    <row r="189" ht="15" customHeight="1" s="7">
      <c r="A189" s="14" t="inlineStr">
        <is>
          <t>Discovery</t>
        </is>
      </c>
      <c r="B189" s="14" t="inlineStr">
        <is>
          <t>T1619</t>
        </is>
      </c>
      <c r="C189" s="14" t="inlineStr">
        <is>
          <t>Cloud Storage Object Discovery</t>
        </is>
      </c>
      <c r="D189" s="14">
        <f>COUNTIFS(Entries!$A$2:$A$741,A189,Entries!$B$2:$B$741,B189)</f>
        <v/>
      </c>
      <c r="E189" s="14">
        <f>COUNTIFS(Entries!$A$2:$A$741,A189,Entries!$B$2:$B$741,B189,Entries!$F$2:$F$741,"Full")</f>
        <v/>
      </c>
      <c r="F189" s="14">
        <f>COUNTIFS(Entries!$A$2:$A$741,A189,Entries!$B$2:$B$741,B189,Entries!$F$2:$F$741,"Partial")</f>
        <v/>
      </c>
      <c r="G189" s="14">
        <f>COUNTIFS(Entries!$A$2:$A$741,A189,Entries!$B$2:$B$741,B189,Entries!$F$2:$F$741,"No")</f>
        <v/>
      </c>
      <c r="H189" s="14">
        <f>IF(D189=0,"Not graded",IF(E189&gt;0,"Full",IF(F189&gt;0,"Partial","No")))</f>
        <v/>
      </c>
    </row>
    <row r="190" ht="15" customHeight="1" s="7">
      <c r="A190" s="14" t="inlineStr">
        <is>
          <t>Discovery</t>
        </is>
      </c>
      <c r="B190" s="14" t="inlineStr">
        <is>
          <t>T1622</t>
        </is>
      </c>
      <c r="C190" s="14" t="inlineStr">
        <is>
          <t>Debugger Evasion</t>
        </is>
      </c>
      <c r="D190" s="14">
        <f>COUNTIFS(Entries!$A$2:$A$741,A190,Entries!$B$2:$B$741,B190)</f>
        <v/>
      </c>
      <c r="E190" s="14">
        <f>COUNTIFS(Entries!$A$2:$A$741,A190,Entries!$B$2:$B$741,B190,Entries!$F$2:$F$741,"Full")</f>
        <v/>
      </c>
      <c r="F190" s="14">
        <f>COUNTIFS(Entries!$A$2:$A$741,A190,Entries!$B$2:$B$741,B190,Entries!$F$2:$F$741,"Partial")</f>
        <v/>
      </c>
      <c r="G190" s="14">
        <f>COUNTIFS(Entries!$A$2:$A$741,A190,Entries!$B$2:$B$741,B190,Entries!$F$2:$F$741,"No")</f>
        <v/>
      </c>
      <c r="H190" s="14">
        <f>IF(D190=0,"Not graded",IF(E190&gt;0,"Full",IF(F190&gt;0,"Partial","No")))</f>
        <v/>
      </c>
    </row>
    <row r="191" ht="15" customHeight="1" s="7">
      <c r="A191" s="14" t="inlineStr">
        <is>
          <t>Discovery</t>
        </is>
      </c>
      <c r="B191" s="14" t="inlineStr">
        <is>
          <t>T1652</t>
        </is>
      </c>
      <c r="C191" s="14" t="inlineStr">
        <is>
          <t>Device Driver Discovery</t>
        </is>
      </c>
      <c r="D191" s="14">
        <f>COUNTIFS(Entries!$A$2:$A$741,A191,Entries!$B$2:$B$741,B191)</f>
        <v/>
      </c>
      <c r="E191" s="14">
        <f>COUNTIFS(Entries!$A$2:$A$741,A191,Entries!$B$2:$B$741,B191,Entries!$F$2:$F$741,"Full")</f>
        <v/>
      </c>
      <c r="F191" s="14">
        <f>COUNTIFS(Entries!$A$2:$A$741,A191,Entries!$B$2:$B$741,B191,Entries!$F$2:$F$741,"Partial")</f>
        <v/>
      </c>
      <c r="G191" s="14">
        <f>COUNTIFS(Entries!$A$2:$A$741,A191,Entries!$B$2:$B$741,B191,Entries!$F$2:$F$741,"No")</f>
        <v/>
      </c>
      <c r="H191" s="14">
        <f>IF(D191=0,"Not graded",IF(E191&gt;0,"Full",IF(F191&gt;0,"Partial","No")))</f>
        <v/>
      </c>
    </row>
    <row r="192" ht="15" customHeight="1" s="7">
      <c r="A192" s="14" t="inlineStr">
        <is>
          <t>Discovery</t>
        </is>
      </c>
      <c r="B192" s="14" t="inlineStr">
        <is>
          <t>T1654</t>
        </is>
      </c>
      <c r="C192" s="14" t="inlineStr">
        <is>
          <t>Log Enumeration</t>
        </is>
      </c>
      <c r="D192" s="14">
        <f>COUNTIFS(Entries!$A$2:$A$741,A192,Entries!$B$2:$B$741,B192)</f>
        <v/>
      </c>
      <c r="E192" s="14">
        <f>COUNTIFS(Entries!$A$2:$A$741,A192,Entries!$B$2:$B$741,B192,Entries!$F$2:$F$741,"Full")</f>
        <v/>
      </c>
      <c r="F192" s="14">
        <f>COUNTIFS(Entries!$A$2:$A$741,A192,Entries!$B$2:$B$741,B192,Entries!$F$2:$F$741,"Partial")</f>
        <v/>
      </c>
      <c r="G192" s="14">
        <f>COUNTIFS(Entries!$A$2:$A$741,A192,Entries!$B$2:$B$741,B192,Entries!$F$2:$F$741,"No")</f>
        <v/>
      </c>
      <c r="H192" s="14">
        <f>IF(D192=0,"Not graded",IF(E192&gt;0,"Full",IF(F192&gt;0,"Partial","No")))</f>
        <v/>
      </c>
    </row>
    <row r="193" ht="15" customHeight="1" s="7">
      <c r="A193" s="14" t="inlineStr">
        <is>
          <t>Discovery</t>
        </is>
      </c>
      <c r="B193" s="14" t="inlineStr">
        <is>
          <t>T1673</t>
        </is>
      </c>
      <c r="C193" s="14" t="inlineStr">
        <is>
          <t>Virtual Machine Discovery</t>
        </is>
      </c>
      <c r="D193" s="14">
        <f>COUNTIFS(Entries!$A$2:$A$741,A193,Entries!$B$2:$B$741,B193)</f>
        <v/>
      </c>
      <c r="E193" s="14">
        <f>COUNTIFS(Entries!$A$2:$A$741,A193,Entries!$B$2:$B$741,B193,Entries!$F$2:$F$741,"Full")</f>
        <v/>
      </c>
      <c r="F193" s="14">
        <f>COUNTIFS(Entries!$A$2:$A$741,A193,Entries!$B$2:$B$741,B193,Entries!$F$2:$F$741,"Partial")</f>
        <v/>
      </c>
      <c r="G193" s="14">
        <f>COUNTIFS(Entries!$A$2:$A$741,A193,Entries!$B$2:$B$741,B193,Entries!$F$2:$F$741,"No")</f>
        <v/>
      </c>
      <c r="H193" s="14">
        <f>IF(D193=0,"Not graded",IF(E193&gt;0,"Full",IF(F193&gt;0,"Partial","No")))</f>
        <v/>
      </c>
    </row>
    <row r="194" ht="15" customHeight="1" s="7">
      <c r="A194" s="14" t="inlineStr">
        <is>
          <t>Lateral Movement</t>
        </is>
      </c>
      <c r="B194" s="14" t="inlineStr">
        <is>
          <t>T1021</t>
        </is>
      </c>
      <c r="C194" s="14" t="inlineStr">
        <is>
          <t>Remote Services</t>
        </is>
      </c>
      <c r="D194" s="14">
        <f>COUNTIFS(Entries!$A$2:$A$741,A194,Entries!$B$2:$B$741,B194)</f>
        <v/>
      </c>
      <c r="E194" s="14">
        <f>COUNTIFS(Entries!$A$2:$A$741,A194,Entries!$B$2:$B$741,B194,Entries!$F$2:$F$741,"Full")</f>
        <v/>
      </c>
      <c r="F194" s="14">
        <f>COUNTIFS(Entries!$A$2:$A$741,A194,Entries!$B$2:$B$741,B194,Entries!$F$2:$F$741,"Partial")</f>
        <v/>
      </c>
      <c r="G194" s="14">
        <f>COUNTIFS(Entries!$A$2:$A$741,A194,Entries!$B$2:$B$741,B194,Entries!$F$2:$F$741,"No")</f>
        <v/>
      </c>
      <c r="H194" s="14">
        <f>IF(D194=0,"Not graded",IF(E194&gt;0,"Full",IF(F194&gt;0,"Partial","No")))</f>
        <v/>
      </c>
    </row>
    <row r="195" ht="15" customHeight="1" s="7">
      <c r="A195" s="14" t="inlineStr">
        <is>
          <t>Lateral Movement</t>
        </is>
      </c>
      <c r="B195" s="14" t="inlineStr">
        <is>
          <t>T1072</t>
        </is>
      </c>
      <c r="C195" s="14" t="inlineStr">
        <is>
          <t>Software Deployment Tools</t>
        </is>
      </c>
      <c r="D195" s="14">
        <f>COUNTIFS(Entries!$A$2:$A$741,A195,Entries!$B$2:$B$741,B195)</f>
        <v/>
      </c>
      <c r="E195" s="14">
        <f>COUNTIFS(Entries!$A$2:$A$741,A195,Entries!$B$2:$B$741,B195,Entries!$F$2:$F$741,"Full")</f>
        <v/>
      </c>
      <c r="F195" s="14">
        <f>COUNTIFS(Entries!$A$2:$A$741,A195,Entries!$B$2:$B$741,B195,Entries!$F$2:$F$741,"Partial")</f>
        <v/>
      </c>
      <c r="G195" s="14">
        <f>COUNTIFS(Entries!$A$2:$A$741,A195,Entries!$B$2:$B$741,B195,Entries!$F$2:$F$741,"No")</f>
        <v/>
      </c>
      <c r="H195" s="14">
        <f>IF(D195=0,"Not graded",IF(E195&gt;0,"Full",IF(F195&gt;0,"Partial","No")))</f>
        <v/>
      </c>
    </row>
    <row r="196" ht="15" customHeight="1" s="7">
      <c r="A196" s="14" t="inlineStr">
        <is>
          <t>Lateral Movement</t>
        </is>
      </c>
      <c r="B196" s="14" t="inlineStr">
        <is>
          <t>T1080</t>
        </is>
      </c>
      <c r="C196" s="14" t="inlineStr">
        <is>
          <t>Taint Shared Content</t>
        </is>
      </c>
      <c r="D196" s="14">
        <f>COUNTIFS(Entries!$A$2:$A$741,A196,Entries!$B$2:$B$741,B196)</f>
        <v/>
      </c>
      <c r="E196" s="14">
        <f>COUNTIFS(Entries!$A$2:$A$741,A196,Entries!$B$2:$B$741,B196,Entries!$F$2:$F$741,"Full")</f>
        <v/>
      </c>
      <c r="F196" s="14">
        <f>COUNTIFS(Entries!$A$2:$A$741,A196,Entries!$B$2:$B$741,B196,Entries!$F$2:$F$741,"Partial")</f>
        <v/>
      </c>
      <c r="G196" s="14">
        <f>COUNTIFS(Entries!$A$2:$A$741,A196,Entries!$B$2:$B$741,B196,Entries!$F$2:$F$741,"No")</f>
        <v/>
      </c>
      <c r="H196" s="14">
        <f>IF(D196=0,"Not graded",IF(E196&gt;0,"Full",IF(F196&gt;0,"Partial","No")))</f>
        <v/>
      </c>
    </row>
    <row r="197" ht="15" customHeight="1" s="7">
      <c r="A197" s="14" t="inlineStr">
        <is>
          <t>Lateral Movement</t>
        </is>
      </c>
      <c r="B197" s="14" t="inlineStr">
        <is>
          <t>T1091</t>
        </is>
      </c>
      <c r="C197" s="14" t="inlineStr">
        <is>
          <t>Replication Through Removable Media</t>
        </is>
      </c>
      <c r="D197" s="14">
        <f>COUNTIFS(Entries!$A$2:$A$741,A197,Entries!$B$2:$B$741,B197)</f>
        <v/>
      </c>
      <c r="E197" s="14">
        <f>COUNTIFS(Entries!$A$2:$A$741,A197,Entries!$B$2:$B$741,B197,Entries!$F$2:$F$741,"Full")</f>
        <v/>
      </c>
      <c r="F197" s="14">
        <f>COUNTIFS(Entries!$A$2:$A$741,A197,Entries!$B$2:$B$741,B197,Entries!$F$2:$F$741,"Partial")</f>
        <v/>
      </c>
      <c r="G197" s="14">
        <f>COUNTIFS(Entries!$A$2:$A$741,A197,Entries!$B$2:$B$741,B197,Entries!$F$2:$F$741,"No")</f>
        <v/>
      </c>
      <c r="H197" s="14">
        <f>IF(D197=0,"Not graded",IF(E197&gt;0,"Full",IF(F197&gt;0,"Partial","No")))</f>
        <v/>
      </c>
    </row>
    <row r="198" ht="15" customHeight="1" s="7">
      <c r="A198" s="14" t="inlineStr">
        <is>
          <t>Lateral Movement</t>
        </is>
      </c>
      <c r="B198" s="14" t="inlineStr">
        <is>
          <t>T1210</t>
        </is>
      </c>
      <c r="C198" s="14" t="inlineStr">
        <is>
          <t>Exploitation of Remote Services</t>
        </is>
      </c>
      <c r="D198" s="14">
        <f>COUNTIFS(Entries!$A$2:$A$741,A198,Entries!$B$2:$B$741,B198)</f>
        <v/>
      </c>
      <c r="E198" s="14">
        <f>COUNTIFS(Entries!$A$2:$A$741,A198,Entries!$B$2:$B$741,B198,Entries!$F$2:$F$741,"Full")</f>
        <v/>
      </c>
      <c r="F198" s="14">
        <f>COUNTIFS(Entries!$A$2:$A$741,A198,Entries!$B$2:$B$741,B198,Entries!$F$2:$F$741,"Partial")</f>
        <v/>
      </c>
      <c r="G198" s="14">
        <f>COUNTIFS(Entries!$A$2:$A$741,A198,Entries!$B$2:$B$741,B198,Entries!$F$2:$F$741,"No")</f>
        <v/>
      </c>
      <c r="H198" s="14">
        <f>IF(D198=0,"Not graded",IF(E198&gt;0,"Full",IF(F198&gt;0,"Partial","No")))</f>
        <v/>
      </c>
    </row>
    <row r="199" ht="15" customHeight="1" s="7">
      <c r="A199" s="14" t="inlineStr">
        <is>
          <t>Lateral Movement</t>
        </is>
      </c>
      <c r="B199" s="14" t="inlineStr">
        <is>
          <t>T1534</t>
        </is>
      </c>
      <c r="C199" s="14" t="inlineStr">
        <is>
          <t>Internal Spearphishing</t>
        </is>
      </c>
      <c r="D199" s="14">
        <f>COUNTIFS(Entries!$A$2:$A$741,A199,Entries!$B$2:$B$741,B199)</f>
        <v/>
      </c>
      <c r="E199" s="14">
        <f>COUNTIFS(Entries!$A$2:$A$741,A199,Entries!$B$2:$B$741,B199,Entries!$F$2:$F$741,"Full")</f>
        <v/>
      </c>
      <c r="F199" s="14">
        <f>COUNTIFS(Entries!$A$2:$A$741,A199,Entries!$B$2:$B$741,B199,Entries!$F$2:$F$741,"Partial")</f>
        <v/>
      </c>
      <c r="G199" s="14">
        <f>COUNTIFS(Entries!$A$2:$A$741,A199,Entries!$B$2:$B$741,B199,Entries!$F$2:$F$741,"No")</f>
        <v/>
      </c>
      <c r="H199" s="14">
        <f>IF(D199=0,"Not graded",IF(E199&gt;0,"Full",IF(F199&gt;0,"Partial","No")))</f>
        <v/>
      </c>
    </row>
    <row r="200" ht="15" customHeight="1" s="7">
      <c r="A200" s="14" t="inlineStr">
        <is>
          <t>Lateral Movement</t>
        </is>
      </c>
      <c r="B200" s="14" t="inlineStr">
        <is>
          <t>T1550</t>
        </is>
      </c>
      <c r="C200" s="14" t="inlineStr">
        <is>
          <t>Use Alternate Authentication Material</t>
        </is>
      </c>
      <c r="D200" s="14">
        <f>COUNTIFS(Entries!$A$2:$A$741,A200,Entries!$B$2:$B$741,B200)</f>
        <v/>
      </c>
      <c r="E200" s="14">
        <f>COUNTIFS(Entries!$A$2:$A$741,A200,Entries!$B$2:$B$741,B200,Entries!$F$2:$F$741,"Full")</f>
        <v/>
      </c>
      <c r="F200" s="14">
        <f>COUNTIFS(Entries!$A$2:$A$741,A200,Entries!$B$2:$B$741,B200,Entries!$F$2:$F$741,"Partial")</f>
        <v/>
      </c>
      <c r="G200" s="14">
        <f>COUNTIFS(Entries!$A$2:$A$741,A200,Entries!$B$2:$B$741,B200,Entries!$F$2:$F$741,"No")</f>
        <v/>
      </c>
      <c r="H200" s="14">
        <f>IF(D200=0,"Not graded",IF(E200&gt;0,"Full",IF(F200&gt;0,"Partial","No")))</f>
        <v/>
      </c>
    </row>
    <row r="201" ht="15" customHeight="1" s="7">
      <c r="A201" s="14" t="inlineStr">
        <is>
          <t>Lateral Movement</t>
        </is>
      </c>
      <c r="B201" s="14" t="inlineStr">
        <is>
          <t>T1563</t>
        </is>
      </c>
      <c r="C201" s="14" t="inlineStr">
        <is>
          <t>Remote Service Session Hijacking</t>
        </is>
      </c>
      <c r="D201" s="14">
        <f>COUNTIFS(Entries!$A$2:$A$741,A201,Entries!$B$2:$B$741,B201)</f>
        <v/>
      </c>
      <c r="E201" s="14">
        <f>COUNTIFS(Entries!$A$2:$A$741,A201,Entries!$B$2:$B$741,B201,Entries!$F$2:$F$741,"Full")</f>
        <v/>
      </c>
      <c r="F201" s="14">
        <f>COUNTIFS(Entries!$A$2:$A$741,A201,Entries!$B$2:$B$741,B201,Entries!$F$2:$F$741,"Partial")</f>
        <v/>
      </c>
      <c r="G201" s="14">
        <f>COUNTIFS(Entries!$A$2:$A$741,A201,Entries!$B$2:$B$741,B201,Entries!$F$2:$F$741,"No")</f>
        <v/>
      </c>
      <c r="H201" s="14">
        <f>IF(D201=0,"Not graded",IF(E201&gt;0,"Full",IF(F201&gt;0,"Partial","No")))</f>
        <v/>
      </c>
    </row>
    <row r="202" ht="15" customHeight="1" s="7">
      <c r="A202" s="14" t="inlineStr">
        <is>
          <t>Lateral Movement</t>
        </is>
      </c>
      <c r="B202" s="14" t="inlineStr">
        <is>
          <t>T1570</t>
        </is>
      </c>
      <c r="C202" s="14" t="inlineStr">
        <is>
          <t>Lateral Tool Transfer</t>
        </is>
      </c>
      <c r="D202" s="14">
        <f>COUNTIFS(Entries!$A$2:$A$741,A202,Entries!$B$2:$B$741,B202)</f>
        <v/>
      </c>
      <c r="E202" s="14">
        <f>COUNTIFS(Entries!$A$2:$A$741,A202,Entries!$B$2:$B$741,B202,Entries!$F$2:$F$741,"Full")</f>
        <v/>
      </c>
      <c r="F202" s="14">
        <f>COUNTIFS(Entries!$A$2:$A$741,A202,Entries!$B$2:$B$741,B202,Entries!$F$2:$F$741,"Partial")</f>
        <v/>
      </c>
      <c r="G202" s="14">
        <f>COUNTIFS(Entries!$A$2:$A$741,A202,Entries!$B$2:$B$741,B202,Entries!$F$2:$F$741,"No")</f>
        <v/>
      </c>
      <c r="H202" s="14">
        <f>IF(D202=0,"Not graded",IF(E202&gt;0,"Full",IF(F202&gt;0,"Partial","No")))</f>
        <v/>
      </c>
    </row>
    <row r="203" ht="15" customHeight="1" s="7">
      <c r="A203" s="14" t="inlineStr">
        <is>
          <t>Collection</t>
        </is>
      </c>
      <c r="B203" s="14" t="inlineStr">
        <is>
          <t>T1005</t>
        </is>
      </c>
      <c r="C203" s="14" t="inlineStr">
        <is>
          <t>Data from Local System</t>
        </is>
      </c>
      <c r="D203" s="14">
        <f>COUNTIFS(Entries!$A$2:$A$741,A203,Entries!$B$2:$B$741,B203)</f>
        <v/>
      </c>
      <c r="E203" s="14">
        <f>COUNTIFS(Entries!$A$2:$A$741,A203,Entries!$B$2:$B$741,B203,Entries!$F$2:$F$741,"Full")</f>
        <v/>
      </c>
      <c r="F203" s="14">
        <f>COUNTIFS(Entries!$A$2:$A$741,A203,Entries!$B$2:$B$741,B203,Entries!$F$2:$F$741,"Partial")</f>
        <v/>
      </c>
      <c r="G203" s="14">
        <f>COUNTIFS(Entries!$A$2:$A$741,A203,Entries!$B$2:$B$741,B203,Entries!$F$2:$F$741,"No")</f>
        <v/>
      </c>
      <c r="H203" s="14">
        <f>IF(D203=0,"Not graded",IF(E203&gt;0,"Full",IF(F203&gt;0,"Partial","No")))</f>
        <v/>
      </c>
    </row>
    <row r="204" ht="15" customHeight="1" s="7">
      <c r="A204" s="14" t="inlineStr">
        <is>
          <t>Collection</t>
        </is>
      </c>
      <c r="B204" s="14" t="inlineStr">
        <is>
          <t>T1025</t>
        </is>
      </c>
      <c r="C204" s="14" t="inlineStr">
        <is>
          <t>Data from Removable Media</t>
        </is>
      </c>
      <c r="D204" s="14">
        <f>COUNTIFS(Entries!$A$2:$A$741,A204,Entries!$B$2:$B$741,B204)</f>
        <v/>
      </c>
      <c r="E204" s="14">
        <f>COUNTIFS(Entries!$A$2:$A$741,A204,Entries!$B$2:$B$741,B204,Entries!$F$2:$F$741,"Full")</f>
        <v/>
      </c>
      <c r="F204" s="14">
        <f>COUNTIFS(Entries!$A$2:$A$741,A204,Entries!$B$2:$B$741,B204,Entries!$F$2:$F$741,"Partial")</f>
        <v/>
      </c>
      <c r="G204" s="14">
        <f>COUNTIFS(Entries!$A$2:$A$741,A204,Entries!$B$2:$B$741,B204,Entries!$F$2:$F$741,"No")</f>
        <v/>
      </c>
      <c r="H204" s="14">
        <f>IF(D204=0,"Not graded",IF(E204&gt;0,"Full",IF(F204&gt;0,"Partial","No")))</f>
        <v/>
      </c>
    </row>
    <row r="205" ht="15" customHeight="1" s="7">
      <c r="A205" s="14" t="inlineStr">
        <is>
          <t>Collection</t>
        </is>
      </c>
      <c r="B205" s="14" t="inlineStr">
        <is>
          <t>T1039</t>
        </is>
      </c>
      <c r="C205" s="14" t="inlineStr">
        <is>
          <t>Data from Network Shared Drive</t>
        </is>
      </c>
      <c r="D205" s="14">
        <f>COUNTIFS(Entries!$A$2:$A$741,A205,Entries!$B$2:$B$741,B205)</f>
        <v/>
      </c>
      <c r="E205" s="14">
        <f>COUNTIFS(Entries!$A$2:$A$741,A205,Entries!$B$2:$B$741,B205,Entries!$F$2:$F$741,"Full")</f>
        <v/>
      </c>
      <c r="F205" s="14">
        <f>COUNTIFS(Entries!$A$2:$A$741,A205,Entries!$B$2:$B$741,B205,Entries!$F$2:$F$741,"Partial")</f>
        <v/>
      </c>
      <c r="G205" s="14">
        <f>COUNTIFS(Entries!$A$2:$A$741,A205,Entries!$B$2:$B$741,B205,Entries!$F$2:$F$741,"No")</f>
        <v/>
      </c>
      <c r="H205" s="14">
        <f>IF(D205=0,"Not graded",IF(E205&gt;0,"Full",IF(F205&gt;0,"Partial","No")))</f>
        <v/>
      </c>
    </row>
    <row r="206" ht="15" customHeight="1" s="7">
      <c r="A206" s="14" t="inlineStr">
        <is>
          <t>Collection</t>
        </is>
      </c>
      <c r="B206" s="14" t="inlineStr">
        <is>
          <t>T1056</t>
        </is>
      </c>
      <c r="C206" s="14" t="inlineStr">
        <is>
          <t>Input Capture</t>
        </is>
      </c>
      <c r="D206" s="14">
        <f>COUNTIFS(Entries!$A$2:$A$741,A206,Entries!$B$2:$B$741,B206)</f>
        <v/>
      </c>
      <c r="E206" s="14">
        <f>COUNTIFS(Entries!$A$2:$A$741,A206,Entries!$B$2:$B$741,B206,Entries!$F$2:$F$741,"Full")</f>
        <v/>
      </c>
      <c r="F206" s="14">
        <f>COUNTIFS(Entries!$A$2:$A$741,A206,Entries!$B$2:$B$741,B206,Entries!$F$2:$F$741,"Partial")</f>
        <v/>
      </c>
      <c r="G206" s="14">
        <f>COUNTIFS(Entries!$A$2:$A$741,A206,Entries!$B$2:$B$741,B206,Entries!$F$2:$F$741,"No")</f>
        <v/>
      </c>
      <c r="H206" s="14">
        <f>IF(D206=0,"Not graded",IF(E206&gt;0,"Full",IF(F206&gt;0,"Partial","No")))</f>
        <v/>
      </c>
    </row>
    <row r="207" ht="15" customHeight="1" s="7">
      <c r="A207" s="14" t="inlineStr">
        <is>
          <t>Collection</t>
        </is>
      </c>
      <c r="B207" s="14" t="inlineStr">
        <is>
          <t>T1074</t>
        </is>
      </c>
      <c r="C207" s="14" t="inlineStr">
        <is>
          <t>Data Staged</t>
        </is>
      </c>
      <c r="D207" s="14">
        <f>COUNTIFS(Entries!$A$2:$A$741,A207,Entries!$B$2:$B$741,B207)</f>
        <v/>
      </c>
      <c r="E207" s="14">
        <f>COUNTIFS(Entries!$A$2:$A$741,A207,Entries!$B$2:$B$741,B207,Entries!$F$2:$F$741,"Full")</f>
        <v/>
      </c>
      <c r="F207" s="14">
        <f>COUNTIFS(Entries!$A$2:$A$741,A207,Entries!$B$2:$B$741,B207,Entries!$F$2:$F$741,"Partial")</f>
        <v/>
      </c>
      <c r="G207" s="14">
        <f>COUNTIFS(Entries!$A$2:$A$741,A207,Entries!$B$2:$B$741,B207,Entries!$F$2:$F$741,"No")</f>
        <v/>
      </c>
      <c r="H207" s="14">
        <f>IF(D207=0,"Not graded",IF(E207&gt;0,"Full",IF(F207&gt;0,"Partial","No")))</f>
        <v/>
      </c>
    </row>
    <row r="208" ht="15" customHeight="1" s="7">
      <c r="A208" s="14" t="inlineStr">
        <is>
          <t>Collection</t>
        </is>
      </c>
      <c r="B208" s="14" t="inlineStr">
        <is>
          <t>T1113</t>
        </is>
      </c>
      <c r="C208" s="14" t="inlineStr">
        <is>
          <t>Screen Capture</t>
        </is>
      </c>
      <c r="D208" s="14">
        <f>COUNTIFS(Entries!$A$2:$A$741,A208,Entries!$B$2:$B$741,B208)</f>
        <v/>
      </c>
      <c r="E208" s="14">
        <f>COUNTIFS(Entries!$A$2:$A$741,A208,Entries!$B$2:$B$741,B208,Entries!$F$2:$F$741,"Full")</f>
        <v/>
      </c>
      <c r="F208" s="14">
        <f>COUNTIFS(Entries!$A$2:$A$741,A208,Entries!$B$2:$B$741,B208,Entries!$F$2:$F$741,"Partial")</f>
        <v/>
      </c>
      <c r="G208" s="14">
        <f>COUNTIFS(Entries!$A$2:$A$741,A208,Entries!$B$2:$B$741,B208,Entries!$F$2:$F$741,"No")</f>
        <v/>
      </c>
      <c r="H208" s="14">
        <f>IF(D208=0,"Not graded",IF(E208&gt;0,"Full",IF(F208&gt;0,"Partial","No")))</f>
        <v/>
      </c>
    </row>
    <row r="209" ht="15" customHeight="1" s="7">
      <c r="A209" s="14" t="inlineStr">
        <is>
          <t>Collection</t>
        </is>
      </c>
      <c r="B209" s="14" t="inlineStr">
        <is>
          <t>T1114</t>
        </is>
      </c>
      <c r="C209" s="14" t="inlineStr">
        <is>
          <t>Email Collection</t>
        </is>
      </c>
      <c r="D209" s="14">
        <f>COUNTIFS(Entries!$A$2:$A$741,A209,Entries!$B$2:$B$741,B209)</f>
        <v/>
      </c>
      <c r="E209" s="14">
        <f>COUNTIFS(Entries!$A$2:$A$741,A209,Entries!$B$2:$B$741,B209,Entries!$F$2:$F$741,"Full")</f>
        <v/>
      </c>
      <c r="F209" s="14">
        <f>COUNTIFS(Entries!$A$2:$A$741,A209,Entries!$B$2:$B$741,B209,Entries!$F$2:$F$741,"Partial")</f>
        <v/>
      </c>
      <c r="G209" s="14">
        <f>COUNTIFS(Entries!$A$2:$A$741,A209,Entries!$B$2:$B$741,B209,Entries!$F$2:$F$741,"No")</f>
        <v/>
      </c>
      <c r="H209" s="14">
        <f>IF(D209=0,"Not graded",IF(E209&gt;0,"Full",IF(F209&gt;0,"Partial","No")))</f>
        <v/>
      </c>
    </row>
    <row r="210" ht="15" customHeight="1" s="7">
      <c r="A210" s="14" t="inlineStr">
        <is>
          <t>Collection</t>
        </is>
      </c>
      <c r="B210" s="14" t="inlineStr">
        <is>
          <t>T1115</t>
        </is>
      </c>
      <c r="C210" s="14" t="inlineStr">
        <is>
          <t>Clipboard Data</t>
        </is>
      </c>
      <c r="D210" s="14">
        <f>COUNTIFS(Entries!$A$2:$A$741,A210,Entries!$B$2:$B$741,B210)</f>
        <v/>
      </c>
      <c r="E210" s="14">
        <f>COUNTIFS(Entries!$A$2:$A$741,A210,Entries!$B$2:$B$741,B210,Entries!$F$2:$F$741,"Full")</f>
        <v/>
      </c>
      <c r="F210" s="14">
        <f>COUNTIFS(Entries!$A$2:$A$741,A210,Entries!$B$2:$B$741,B210,Entries!$F$2:$F$741,"Partial")</f>
        <v/>
      </c>
      <c r="G210" s="14">
        <f>COUNTIFS(Entries!$A$2:$A$741,A210,Entries!$B$2:$B$741,B210,Entries!$F$2:$F$741,"No")</f>
        <v/>
      </c>
      <c r="H210" s="14">
        <f>IF(D210=0,"Not graded",IF(E210&gt;0,"Full",IF(F210&gt;0,"Partial","No")))</f>
        <v/>
      </c>
    </row>
    <row r="211" ht="15" customHeight="1" s="7">
      <c r="A211" s="14" t="inlineStr">
        <is>
          <t>Collection</t>
        </is>
      </c>
      <c r="B211" s="14" t="inlineStr">
        <is>
          <t>T1119</t>
        </is>
      </c>
      <c r="C211" s="14" t="inlineStr">
        <is>
          <t>Automated Collection</t>
        </is>
      </c>
      <c r="D211" s="14">
        <f>COUNTIFS(Entries!$A$2:$A$741,A211,Entries!$B$2:$B$741,B211)</f>
        <v/>
      </c>
      <c r="E211" s="14">
        <f>COUNTIFS(Entries!$A$2:$A$741,A211,Entries!$B$2:$B$741,B211,Entries!$F$2:$F$741,"Full")</f>
        <v/>
      </c>
      <c r="F211" s="14">
        <f>COUNTIFS(Entries!$A$2:$A$741,A211,Entries!$B$2:$B$741,B211,Entries!$F$2:$F$741,"Partial")</f>
        <v/>
      </c>
      <c r="G211" s="14">
        <f>COUNTIFS(Entries!$A$2:$A$741,A211,Entries!$B$2:$B$741,B211,Entries!$F$2:$F$741,"No")</f>
        <v/>
      </c>
      <c r="H211" s="14">
        <f>IF(D211=0,"Not graded",IF(E211&gt;0,"Full",IF(F211&gt;0,"Partial","No")))</f>
        <v/>
      </c>
    </row>
    <row r="212" ht="15" customHeight="1" s="7">
      <c r="A212" s="14" t="inlineStr">
        <is>
          <t>Collection</t>
        </is>
      </c>
      <c r="B212" s="14" t="inlineStr">
        <is>
          <t>T1123</t>
        </is>
      </c>
      <c r="C212" s="14" t="inlineStr">
        <is>
          <t>Audio Capture</t>
        </is>
      </c>
      <c r="D212" s="14">
        <f>COUNTIFS(Entries!$A$2:$A$741,A212,Entries!$B$2:$B$741,B212)</f>
        <v/>
      </c>
      <c r="E212" s="14">
        <f>COUNTIFS(Entries!$A$2:$A$741,A212,Entries!$B$2:$B$741,B212,Entries!$F$2:$F$741,"Full")</f>
        <v/>
      </c>
      <c r="F212" s="14">
        <f>COUNTIFS(Entries!$A$2:$A$741,A212,Entries!$B$2:$B$741,B212,Entries!$F$2:$F$741,"Partial")</f>
        <v/>
      </c>
      <c r="G212" s="14">
        <f>COUNTIFS(Entries!$A$2:$A$741,A212,Entries!$B$2:$B$741,B212,Entries!$F$2:$F$741,"No")</f>
        <v/>
      </c>
      <c r="H212" s="14">
        <f>IF(D212=0,"Not graded",IF(E212&gt;0,"Full",IF(F212&gt;0,"Partial","No")))</f>
        <v/>
      </c>
    </row>
    <row r="213" ht="15" customHeight="1" s="7">
      <c r="A213" s="14" t="inlineStr">
        <is>
          <t>Collection</t>
        </is>
      </c>
      <c r="B213" s="14" t="inlineStr">
        <is>
          <t>T1125</t>
        </is>
      </c>
      <c r="C213" s="14" t="inlineStr">
        <is>
          <t>Video Capture</t>
        </is>
      </c>
      <c r="D213" s="14">
        <f>COUNTIFS(Entries!$A$2:$A$741,A213,Entries!$B$2:$B$741,B213)</f>
        <v/>
      </c>
      <c r="E213" s="14">
        <f>COUNTIFS(Entries!$A$2:$A$741,A213,Entries!$B$2:$B$741,B213,Entries!$F$2:$F$741,"Full")</f>
        <v/>
      </c>
      <c r="F213" s="14">
        <f>COUNTIFS(Entries!$A$2:$A$741,A213,Entries!$B$2:$B$741,B213,Entries!$F$2:$F$741,"Partial")</f>
        <v/>
      </c>
      <c r="G213" s="14">
        <f>COUNTIFS(Entries!$A$2:$A$741,A213,Entries!$B$2:$B$741,B213,Entries!$F$2:$F$741,"No")</f>
        <v/>
      </c>
      <c r="H213" s="14">
        <f>IF(D213=0,"Not graded",IF(E213&gt;0,"Full",IF(F213&gt;0,"Partial","No")))</f>
        <v/>
      </c>
    </row>
    <row r="214" ht="15" customHeight="1" s="7">
      <c r="A214" s="14" t="inlineStr">
        <is>
          <t>Collection</t>
        </is>
      </c>
      <c r="B214" s="14" t="inlineStr">
        <is>
          <t>T1185</t>
        </is>
      </c>
      <c r="C214" s="14" t="inlineStr">
        <is>
          <t>Browser Session Hijacking</t>
        </is>
      </c>
      <c r="D214" s="14">
        <f>COUNTIFS(Entries!$A$2:$A$741,A214,Entries!$B$2:$B$741,B214)</f>
        <v/>
      </c>
      <c r="E214" s="14">
        <f>COUNTIFS(Entries!$A$2:$A$741,A214,Entries!$B$2:$B$741,B214,Entries!$F$2:$F$741,"Full")</f>
        <v/>
      </c>
      <c r="F214" s="14">
        <f>COUNTIFS(Entries!$A$2:$A$741,A214,Entries!$B$2:$B$741,B214,Entries!$F$2:$F$741,"Partial")</f>
        <v/>
      </c>
      <c r="G214" s="14">
        <f>COUNTIFS(Entries!$A$2:$A$741,A214,Entries!$B$2:$B$741,B214,Entries!$F$2:$F$741,"No")</f>
        <v/>
      </c>
      <c r="H214" s="14">
        <f>IF(D214=0,"Not graded",IF(E214&gt;0,"Full",IF(F214&gt;0,"Partial","No")))</f>
        <v/>
      </c>
    </row>
    <row r="215" ht="15" customHeight="1" s="7">
      <c r="A215" s="14" t="inlineStr">
        <is>
          <t>Collection</t>
        </is>
      </c>
      <c r="B215" s="14" t="inlineStr">
        <is>
          <t>T1213</t>
        </is>
      </c>
      <c r="C215" s="14" t="inlineStr">
        <is>
          <t>Data from Information Repositories</t>
        </is>
      </c>
      <c r="D215" s="14">
        <f>COUNTIFS(Entries!$A$2:$A$741,A215,Entries!$B$2:$B$741,B215)</f>
        <v/>
      </c>
      <c r="E215" s="14">
        <f>COUNTIFS(Entries!$A$2:$A$741,A215,Entries!$B$2:$B$741,B215,Entries!$F$2:$F$741,"Full")</f>
        <v/>
      </c>
      <c r="F215" s="14">
        <f>COUNTIFS(Entries!$A$2:$A$741,A215,Entries!$B$2:$B$741,B215,Entries!$F$2:$F$741,"Partial")</f>
        <v/>
      </c>
      <c r="G215" s="14">
        <f>COUNTIFS(Entries!$A$2:$A$741,A215,Entries!$B$2:$B$741,B215,Entries!$F$2:$F$741,"No")</f>
        <v/>
      </c>
      <c r="H215" s="14">
        <f>IF(D215=0,"Not graded",IF(E215&gt;0,"Full",IF(F215&gt;0,"Partial","No")))</f>
        <v/>
      </c>
    </row>
    <row r="216" ht="15" customHeight="1" s="7">
      <c r="A216" s="14" t="inlineStr">
        <is>
          <t>Collection</t>
        </is>
      </c>
      <c r="B216" s="14" t="inlineStr">
        <is>
          <t>T1530</t>
        </is>
      </c>
      <c r="C216" s="14" t="inlineStr">
        <is>
          <t>Data from Cloud Storage</t>
        </is>
      </c>
      <c r="D216" s="14">
        <f>COUNTIFS(Entries!$A$2:$A$741,A216,Entries!$B$2:$B$741,B216)</f>
        <v/>
      </c>
      <c r="E216" s="14">
        <f>COUNTIFS(Entries!$A$2:$A$741,A216,Entries!$B$2:$B$741,B216,Entries!$F$2:$F$741,"Full")</f>
        <v/>
      </c>
      <c r="F216" s="14">
        <f>COUNTIFS(Entries!$A$2:$A$741,A216,Entries!$B$2:$B$741,B216,Entries!$F$2:$F$741,"Partial")</f>
        <v/>
      </c>
      <c r="G216" s="14">
        <f>COUNTIFS(Entries!$A$2:$A$741,A216,Entries!$B$2:$B$741,B216,Entries!$F$2:$F$741,"No")</f>
        <v/>
      </c>
      <c r="H216" s="14">
        <f>IF(D216=0,"Not graded",IF(E216&gt;0,"Full",IF(F216&gt;0,"Partial","No")))</f>
        <v/>
      </c>
    </row>
    <row r="217" ht="15" customHeight="1" s="7">
      <c r="A217" s="14" t="inlineStr">
        <is>
          <t>Collection</t>
        </is>
      </c>
      <c r="B217" s="14" t="inlineStr">
        <is>
          <t>T1557</t>
        </is>
      </c>
      <c r="C217" s="14" t="inlineStr">
        <is>
          <t>Adversary-in-the-Middle</t>
        </is>
      </c>
      <c r="D217" s="14">
        <f>COUNTIFS(Entries!$A$2:$A$741,A217,Entries!$B$2:$B$741,B217)</f>
        <v/>
      </c>
      <c r="E217" s="14">
        <f>COUNTIFS(Entries!$A$2:$A$741,A217,Entries!$B$2:$B$741,B217,Entries!$F$2:$F$741,"Full")</f>
        <v/>
      </c>
      <c r="F217" s="14">
        <f>COUNTIFS(Entries!$A$2:$A$741,A217,Entries!$B$2:$B$741,B217,Entries!$F$2:$F$741,"Partial")</f>
        <v/>
      </c>
      <c r="G217" s="14">
        <f>COUNTIFS(Entries!$A$2:$A$741,A217,Entries!$B$2:$B$741,B217,Entries!$F$2:$F$741,"No")</f>
        <v/>
      </c>
      <c r="H217" s="14">
        <f>IF(D217=0,"Not graded",IF(E217&gt;0,"Full",IF(F217&gt;0,"Partial","No")))</f>
        <v/>
      </c>
    </row>
    <row r="218" ht="15" customHeight="1" s="7">
      <c r="A218" s="14" t="inlineStr">
        <is>
          <t>Collection</t>
        </is>
      </c>
      <c r="B218" s="14" t="inlineStr">
        <is>
          <t>T1560</t>
        </is>
      </c>
      <c r="C218" s="14" t="inlineStr">
        <is>
          <t>Archive Collected Data</t>
        </is>
      </c>
      <c r="D218" s="14">
        <f>COUNTIFS(Entries!$A$2:$A$741,A218,Entries!$B$2:$B$741,B218)</f>
        <v/>
      </c>
      <c r="E218" s="14">
        <f>COUNTIFS(Entries!$A$2:$A$741,A218,Entries!$B$2:$B$741,B218,Entries!$F$2:$F$741,"Full")</f>
        <v/>
      </c>
      <c r="F218" s="14">
        <f>COUNTIFS(Entries!$A$2:$A$741,A218,Entries!$B$2:$B$741,B218,Entries!$F$2:$F$741,"Partial")</f>
        <v/>
      </c>
      <c r="G218" s="14">
        <f>COUNTIFS(Entries!$A$2:$A$741,A218,Entries!$B$2:$B$741,B218,Entries!$F$2:$F$741,"No")</f>
        <v/>
      </c>
      <c r="H218" s="14">
        <f>IF(D218=0,"Not graded",IF(E218&gt;0,"Full",IF(F218&gt;0,"Partial","No")))</f>
        <v/>
      </c>
    </row>
    <row r="219" ht="15" customHeight="1" s="7">
      <c r="A219" s="14" t="inlineStr">
        <is>
          <t>Collection</t>
        </is>
      </c>
      <c r="B219" s="14" t="inlineStr">
        <is>
          <t>T1602</t>
        </is>
      </c>
      <c r="C219" s="14" t="inlineStr">
        <is>
          <t>Data from Configuration Repository</t>
        </is>
      </c>
      <c r="D219" s="14">
        <f>COUNTIFS(Entries!$A$2:$A$741,A219,Entries!$B$2:$B$741,B219)</f>
        <v/>
      </c>
      <c r="E219" s="14">
        <f>COUNTIFS(Entries!$A$2:$A$741,A219,Entries!$B$2:$B$741,B219,Entries!$F$2:$F$741,"Full")</f>
        <v/>
      </c>
      <c r="F219" s="14">
        <f>COUNTIFS(Entries!$A$2:$A$741,A219,Entries!$B$2:$B$741,B219,Entries!$F$2:$F$741,"Partial")</f>
        <v/>
      </c>
      <c r="G219" s="14">
        <f>COUNTIFS(Entries!$A$2:$A$741,A219,Entries!$B$2:$B$741,B219,Entries!$F$2:$F$741,"No")</f>
        <v/>
      </c>
      <c r="H219" s="14">
        <f>IF(D219=0,"Not graded",IF(E219&gt;0,"Full",IF(F219&gt;0,"Partial","No")))</f>
        <v/>
      </c>
    </row>
    <row r="220" ht="15" customHeight="1" s="7">
      <c r="A220" s="14" t="inlineStr">
        <is>
          <t>Command and Control</t>
        </is>
      </c>
      <c r="B220" s="14" t="inlineStr">
        <is>
          <t>T1001</t>
        </is>
      </c>
      <c r="C220" s="14" t="inlineStr">
        <is>
          <t>Data Obfuscation</t>
        </is>
      </c>
      <c r="D220" s="14">
        <f>COUNTIFS(Entries!$A$2:$A$741,A220,Entries!$B$2:$B$741,B220)</f>
        <v/>
      </c>
      <c r="E220" s="14">
        <f>COUNTIFS(Entries!$A$2:$A$741,A220,Entries!$B$2:$B$741,B220,Entries!$F$2:$F$741,"Full")</f>
        <v/>
      </c>
      <c r="F220" s="14">
        <f>COUNTIFS(Entries!$A$2:$A$741,A220,Entries!$B$2:$B$741,B220,Entries!$F$2:$F$741,"Partial")</f>
        <v/>
      </c>
      <c r="G220" s="14">
        <f>COUNTIFS(Entries!$A$2:$A$741,A220,Entries!$B$2:$B$741,B220,Entries!$F$2:$F$741,"No")</f>
        <v/>
      </c>
      <c r="H220" s="14">
        <f>IF(D220=0,"Not graded",IF(E220&gt;0,"Full",IF(F220&gt;0,"Partial","No")))</f>
        <v/>
      </c>
    </row>
    <row r="221" ht="15" customHeight="1" s="7">
      <c r="A221" s="14" t="inlineStr">
        <is>
          <t>Command and Control</t>
        </is>
      </c>
      <c r="B221" s="14" t="inlineStr">
        <is>
          <t>T1008</t>
        </is>
      </c>
      <c r="C221" s="14" t="inlineStr">
        <is>
          <t>Fallback Channels</t>
        </is>
      </c>
      <c r="D221" s="14">
        <f>COUNTIFS(Entries!$A$2:$A$741,A221,Entries!$B$2:$B$741,B221)</f>
        <v/>
      </c>
      <c r="E221" s="14">
        <f>COUNTIFS(Entries!$A$2:$A$741,A221,Entries!$B$2:$B$741,B221,Entries!$F$2:$F$741,"Full")</f>
        <v/>
      </c>
      <c r="F221" s="14">
        <f>COUNTIFS(Entries!$A$2:$A$741,A221,Entries!$B$2:$B$741,B221,Entries!$F$2:$F$741,"Partial")</f>
        <v/>
      </c>
      <c r="G221" s="14">
        <f>COUNTIFS(Entries!$A$2:$A$741,A221,Entries!$B$2:$B$741,B221,Entries!$F$2:$F$741,"No")</f>
        <v/>
      </c>
      <c r="H221" s="14">
        <f>IF(D221=0,"Not graded",IF(E221&gt;0,"Full",IF(F221&gt;0,"Partial","No")))</f>
        <v/>
      </c>
    </row>
    <row r="222" ht="15" customHeight="1" s="7">
      <c r="A222" s="14" t="inlineStr">
        <is>
          <t>Command and Control</t>
        </is>
      </c>
      <c r="B222" s="14" t="inlineStr">
        <is>
          <t>T1071</t>
        </is>
      </c>
      <c r="C222" s="14" t="inlineStr">
        <is>
          <t>Application Layer Protocol</t>
        </is>
      </c>
      <c r="D222" s="14">
        <f>COUNTIFS(Entries!$A$2:$A$741,A222,Entries!$B$2:$B$741,B222)</f>
        <v/>
      </c>
      <c r="E222" s="14">
        <f>COUNTIFS(Entries!$A$2:$A$741,A222,Entries!$B$2:$B$741,B222,Entries!$F$2:$F$741,"Full")</f>
        <v/>
      </c>
      <c r="F222" s="14">
        <f>COUNTIFS(Entries!$A$2:$A$741,A222,Entries!$B$2:$B$741,B222,Entries!$F$2:$F$741,"Partial")</f>
        <v/>
      </c>
      <c r="G222" s="14">
        <f>COUNTIFS(Entries!$A$2:$A$741,A222,Entries!$B$2:$B$741,B222,Entries!$F$2:$F$741,"No")</f>
        <v/>
      </c>
      <c r="H222" s="14">
        <f>IF(D222=0,"Not graded",IF(E222&gt;0,"Full",IF(F222&gt;0,"Partial","No")))</f>
        <v/>
      </c>
    </row>
    <row r="223" ht="15" customHeight="1" s="7">
      <c r="A223" s="14" t="inlineStr">
        <is>
          <t>Command and Control</t>
        </is>
      </c>
      <c r="B223" s="14" t="inlineStr">
        <is>
          <t>T1090</t>
        </is>
      </c>
      <c r="C223" s="14" t="inlineStr">
        <is>
          <t>Proxy</t>
        </is>
      </c>
      <c r="D223" s="14">
        <f>COUNTIFS(Entries!$A$2:$A$741,A223,Entries!$B$2:$B$741,B223)</f>
        <v/>
      </c>
      <c r="E223" s="14">
        <f>COUNTIFS(Entries!$A$2:$A$741,A223,Entries!$B$2:$B$741,B223,Entries!$F$2:$F$741,"Full")</f>
        <v/>
      </c>
      <c r="F223" s="14">
        <f>COUNTIFS(Entries!$A$2:$A$741,A223,Entries!$B$2:$B$741,B223,Entries!$F$2:$F$741,"Partial")</f>
        <v/>
      </c>
      <c r="G223" s="14">
        <f>COUNTIFS(Entries!$A$2:$A$741,A223,Entries!$B$2:$B$741,B223,Entries!$F$2:$F$741,"No")</f>
        <v/>
      </c>
      <c r="H223" s="14">
        <f>IF(D223=0,"Not graded",IF(E223&gt;0,"Full",IF(F223&gt;0,"Partial","No")))</f>
        <v/>
      </c>
    </row>
    <row r="224" ht="15" customHeight="1" s="7">
      <c r="A224" s="14" t="inlineStr">
        <is>
          <t>Command and Control</t>
        </is>
      </c>
      <c r="B224" s="14" t="inlineStr">
        <is>
          <t>T1092</t>
        </is>
      </c>
      <c r="C224" s="14" t="inlineStr">
        <is>
          <t>Communication Through Removable Media</t>
        </is>
      </c>
      <c r="D224" s="14">
        <f>COUNTIFS(Entries!$A$2:$A$741,A224,Entries!$B$2:$B$741,B224)</f>
        <v/>
      </c>
      <c r="E224" s="14">
        <f>COUNTIFS(Entries!$A$2:$A$741,A224,Entries!$B$2:$B$741,B224,Entries!$F$2:$F$741,"Full")</f>
        <v/>
      </c>
      <c r="F224" s="14">
        <f>COUNTIFS(Entries!$A$2:$A$741,A224,Entries!$B$2:$B$741,B224,Entries!$F$2:$F$741,"Partial")</f>
        <v/>
      </c>
      <c r="G224" s="14">
        <f>COUNTIFS(Entries!$A$2:$A$741,A224,Entries!$B$2:$B$741,B224,Entries!$F$2:$F$741,"No")</f>
        <v/>
      </c>
      <c r="H224" s="14">
        <f>IF(D224=0,"Not graded",IF(E224&gt;0,"Full",IF(F224&gt;0,"Partial","No")))</f>
        <v/>
      </c>
    </row>
    <row r="225" ht="15" customHeight="1" s="7">
      <c r="A225" s="14" t="inlineStr">
        <is>
          <t>Command and Control</t>
        </is>
      </c>
      <c r="B225" s="14" t="inlineStr">
        <is>
          <t>T1095</t>
        </is>
      </c>
      <c r="C225" s="14" t="inlineStr">
        <is>
          <t>Non-Application Layer Protocol</t>
        </is>
      </c>
      <c r="D225" s="14">
        <f>COUNTIFS(Entries!$A$2:$A$741,A225,Entries!$B$2:$B$741,B225)</f>
        <v/>
      </c>
      <c r="E225" s="14">
        <f>COUNTIFS(Entries!$A$2:$A$741,A225,Entries!$B$2:$B$741,B225,Entries!$F$2:$F$741,"Full")</f>
        <v/>
      </c>
      <c r="F225" s="14">
        <f>COUNTIFS(Entries!$A$2:$A$741,A225,Entries!$B$2:$B$741,B225,Entries!$F$2:$F$741,"Partial")</f>
        <v/>
      </c>
      <c r="G225" s="14">
        <f>COUNTIFS(Entries!$A$2:$A$741,A225,Entries!$B$2:$B$741,B225,Entries!$F$2:$F$741,"No")</f>
        <v/>
      </c>
      <c r="H225" s="14">
        <f>IF(D225=0,"Not graded",IF(E225&gt;0,"Full",IF(F225&gt;0,"Partial","No")))</f>
        <v/>
      </c>
    </row>
    <row r="226" ht="15" customHeight="1" s="7">
      <c r="A226" s="14" t="inlineStr">
        <is>
          <t>Command and Control</t>
        </is>
      </c>
      <c r="B226" s="14" t="inlineStr">
        <is>
          <t>T1102</t>
        </is>
      </c>
      <c r="C226" s="14" t="inlineStr">
        <is>
          <t>Web Service</t>
        </is>
      </c>
      <c r="D226" s="14">
        <f>COUNTIFS(Entries!$A$2:$A$741,A226,Entries!$B$2:$B$741,B226)</f>
        <v/>
      </c>
      <c r="E226" s="14">
        <f>COUNTIFS(Entries!$A$2:$A$741,A226,Entries!$B$2:$B$741,B226,Entries!$F$2:$F$741,"Full")</f>
        <v/>
      </c>
      <c r="F226" s="14">
        <f>COUNTIFS(Entries!$A$2:$A$741,A226,Entries!$B$2:$B$741,B226,Entries!$F$2:$F$741,"Partial")</f>
        <v/>
      </c>
      <c r="G226" s="14">
        <f>COUNTIFS(Entries!$A$2:$A$741,A226,Entries!$B$2:$B$741,B226,Entries!$F$2:$F$741,"No")</f>
        <v/>
      </c>
      <c r="H226" s="14">
        <f>IF(D226=0,"Not graded",IF(E226&gt;0,"Full",IF(F226&gt;0,"Partial","No")))</f>
        <v/>
      </c>
    </row>
    <row r="227" ht="15" customHeight="1" s="7">
      <c r="A227" s="14" t="inlineStr">
        <is>
          <t>Command and Control</t>
        </is>
      </c>
      <c r="B227" s="14" t="inlineStr">
        <is>
          <t>T1104</t>
        </is>
      </c>
      <c r="C227" s="14" t="inlineStr">
        <is>
          <t>Multi-Stage Channels</t>
        </is>
      </c>
      <c r="D227" s="14">
        <f>COUNTIFS(Entries!$A$2:$A$741,A227,Entries!$B$2:$B$741,B227)</f>
        <v/>
      </c>
      <c r="E227" s="14">
        <f>COUNTIFS(Entries!$A$2:$A$741,A227,Entries!$B$2:$B$741,B227,Entries!$F$2:$F$741,"Full")</f>
        <v/>
      </c>
      <c r="F227" s="14">
        <f>COUNTIFS(Entries!$A$2:$A$741,A227,Entries!$B$2:$B$741,B227,Entries!$F$2:$F$741,"Partial")</f>
        <v/>
      </c>
      <c r="G227" s="14">
        <f>COUNTIFS(Entries!$A$2:$A$741,A227,Entries!$B$2:$B$741,B227,Entries!$F$2:$F$741,"No")</f>
        <v/>
      </c>
      <c r="H227" s="14">
        <f>IF(D227=0,"Not graded",IF(E227&gt;0,"Full",IF(F227&gt;0,"Partial","No")))</f>
        <v/>
      </c>
    </row>
    <row r="228" ht="15" customHeight="1" s="7">
      <c r="A228" s="14" t="inlineStr">
        <is>
          <t>Command and Control</t>
        </is>
      </c>
      <c r="B228" s="14" t="inlineStr">
        <is>
          <t>T1105</t>
        </is>
      </c>
      <c r="C228" s="14" t="inlineStr">
        <is>
          <t>Ingress Tool Transfer</t>
        </is>
      </c>
      <c r="D228" s="14">
        <f>COUNTIFS(Entries!$A$2:$A$741,A228,Entries!$B$2:$B$741,B228)</f>
        <v/>
      </c>
      <c r="E228" s="14">
        <f>COUNTIFS(Entries!$A$2:$A$741,A228,Entries!$B$2:$B$741,B228,Entries!$F$2:$F$741,"Full")</f>
        <v/>
      </c>
      <c r="F228" s="14">
        <f>COUNTIFS(Entries!$A$2:$A$741,A228,Entries!$B$2:$B$741,B228,Entries!$F$2:$F$741,"Partial")</f>
        <v/>
      </c>
      <c r="G228" s="14">
        <f>COUNTIFS(Entries!$A$2:$A$741,A228,Entries!$B$2:$B$741,B228,Entries!$F$2:$F$741,"No")</f>
        <v/>
      </c>
      <c r="H228" s="14">
        <f>IF(D228=0,"Not graded",IF(E228&gt;0,"Full",IF(F228&gt;0,"Partial","No")))</f>
        <v/>
      </c>
    </row>
    <row r="229" ht="15" customHeight="1" s="7">
      <c r="A229" s="14" t="inlineStr">
        <is>
          <t>Command and Control</t>
        </is>
      </c>
      <c r="B229" s="14" t="inlineStr">
        <is>
          <t>T1132</t>
        </is>
      </c>
      <c r="C229" s="14" t="inlineStr">
        <is>
          <t>Data Encoding</t>
        </is>
      </c>
      <c r="D229" s="14">
        <f>COUNTIFS(Entries!$A$2:$A$741,A229,Entries!$B$2:$B$741,B229)</f>
        <v/>
      </c>
      <c r="E229" s="14">
        <f>COUNTIFS(Entries!$A$2:$A$741,A229,Entries!$B$2:$B$741,B229,Entries!$F$2:$F$741,"Full")</f>
        <v/>
      </c>
      <c r="F229" s="14">
        <f>COUNTIFS(Entries!$A$2:$A$741,A229,Entries!$B$2:$B$741,B229,Entries!$F$2:$F$741,"Partial")</f>
        <v/>
      </c>
      <c r="G229" s="14">
        <f>COUNTIFS(Entries!$A$2:$A$741,A229,Entries!$B$2:$B$741,B229,Entries!$F$2:$F$741,"No")</f>
        <v/>
      </c>
      <c r="H229" s="14">
        <f>IF(D229=0,"Not graded",IF(E229&gt;0,"Full",IF(F229&gt;0,"Partial","No")))</f>
        <v/>
      </c>
    </row>
    <row r="230" ht="15" customHeight="1" s="7">
      <c r="A230" s="14" t="inlineStr">
        <is>
          <t>Command and Control</t>
        </is>
      </c>
      <c r="B230" s="14" t="inlineStr">
        <is>
          <t>T1205</t>
        </is>
      </c>
      <c r="C230" s="14" t="inlineStr">
        <is>
          <t>Traffic Signaling</t>
        </is>
      </c>
      <c r="D230" s="14">
        <f>COUNTIFS(Entries!$A$2:$A$741,A230,Entries!$B$2:$B$741,B230)</f>
        <v/>
      </c>
      <c r="E230" s="14">
        <f>COUNTIFS(Entries!$A$2:$A$741,A230,Entries!$B$2:$B$741,B230,Entries!$F$2:$F$741,"Full")</f>
        <v/>
      </c>
      <c r="F230" s="14">
        <f>COUNTIFS(Entries!$A$2:$A$741,A230,Entries!$B$2:$B$741,B230,Entries!$F$2:$F$741,"Partial")</f>
        <v/>
      </c>
      <c r="G230" s="14">
        <f>COUNTIFS(Entries!$A$2:$A$741,A230,Entries!$B$2:$B$741,B230,Entries!$F$2:$F$741,"No")</f>
        <v/>
      </c>
      <c r="H230" s="14">
        <f>IF(D230=0,"Not graded",IF(E230&gt;0,"Full",IF(F230&gt;0,"Partial","No")))</f>
        <v/>
      </c>
    </row>
    <row r="231" ht="15" customHeight="1" s="7">
      <c r="A231" s="14" t="inlineStr">
        <is>
          <t>Command and Control</t>
        </is>
      </c>
      <c r="B231" s="14" t="inlineStr">
        <is>
          <t>T1219</t>
        </is>
      </c>
      <c r="C231" s="14" t="inlineStr">
        <is>
          <t>Remote Access Tools</t>
        </is>
      </c>
      <c r="D231" s="14">
        <f>COUNTIFS(Entries!$A$2:$A$741,A231,Entries!$B$2:$B$741,B231)</f>
        <v/>
      </c>
      <c r="E231" s="14">
        <f>COUNTIFS(Entries!$A$2:$A$741,A231,Entries!$B$2:$B$741,B231,Entries!$F$2:$F$741,"Full")</f>
        <v/>
      </c>
      <c r="F231" s="14">
        <f>COUNTIFS(Entries!$A$2:$A$741,A231,Entries!$B$2:$B$741,B231,Entries!$F$2:$F$741,"Partial")</f>
        <v/>
      </c>
      <c r="G231" s="14">
        <f>COUNTIFS(Entries!$A$2:$A$741,A231,Entries!$B$2:$B$741,B231,Entries!$F$2:$F$741,"No")</f>
        <v/>
      </c>
      <c r="H231" s="14">
        <f>IF(D231=0,"Not graded",IF(E231&gt;0,"Full",IF(F231&gt;0,"Partial","No")))</f>
        <v/>
      </c>
    </row>
    <row r="232" ht="15" customHeight="1" s="7">
      <c r="A232" s="14" t="inlineStr">
        <is>
          <t>Command and Control</t>
        </is>
      </c>
      <c r="B232" s="14" t="inlineStr">
        <is>
          <t>T1568</t>
        </is>
      </c>
      <c r="C232" s="14" t="inlineStr">
        <is>
          <t>Dynamic Resolution</t>
        </is>
      </c>
      <c r="D232" s="14">
        <f>COUNTIFS(Entries!$A$2:$A$741,A232,Entries!$B$2:$B$741,B232)</f>
        <v/>
      </c>
      <c r="E232" s="14">
        <f>COUNTIFS(Entries!$A$2:$A$741,A232,Entries!$B$2:$B$741,B232,Entries!$F$2:$F$741,"Full")</f>
        <v/>
      </c>
      <c r="F232" s="14">
        <f>COUNTIFS(Entries!$A$2:$A$741,A232,Entries!$B$2:$B$741,B232,Entries!$F$2:$F$741,"Partial")</f>
        <v/>
      </c>
      <c r="G232" s="14">
        <f>COUNTIFS(Entries!$A$2:$A$741,A232,Entries!$B$2:$B$741,B232,Entries!$F$2:$F$741,"No")</f>
        <v/>
      </c>
      <c r="H232" s="14">
        <f>IF(D232=0,"Not graded",IF(E232&gt;0,"Full",IF(F232&gt;0,"Partial","No")))</f>
        <v/>
      </c>
    </row>
    <row r="233" ht="15" customHeight="1" s="7">
      <c r="A233" s="14" t="inlineStr">
        <is>
          <t>Command and Control</t>
        </is>
      </c>
      <c r="B233" s="14" t="inlineStr">
        <is>
          <t>T1571</t>
        </is>
      </c>
      <c r="C233" s="14" t="inlineStr">
        <is>
          <t>Non-Standard Port</t>
        </is>
      </c>
      <c r="D233" s="14">
        <f>COUNTIFS(Entries!$A$2:$A$741,A233,Entries!$B$2:$B$741,B233)</f>
        <v/>
      </c>
      <c r="E233" s="14">
        <f>COUNTIFS(Entries!$A$2:$A$741,A233,Entries!$B$2:$B$741,B233,Entries!$F$2:$F$741,"Full")</f>
        <v/>
      </c>
      <c r="F233" s="14">
        <f>COUNTIFS(Entries!$A$2:$A$741,A233,Entries!$B$2:$B$741,B233,Entries!$F$2:$F$741,"Partial")</f>
        <v/>
      </c>
      <c r="G233" s="14">
        <f>COUNTIFS(Entries!$A$2:$A$741,A233,Entries!$B$2:$B$741,B233,Entries!$F$2:$F$741,"No")</f>
        <v/>
      </c>
      <c r="H233" s="14">
        <f>IF(D233=0,"Not graded",IF(E233&gt;0,"Full",IF(F233&gt;0,"Partial","No")))</f>
        <v/>
      </c>
    </row>
    <row r="234" ht="15" customHeight="1" s="7">
      <c r="A234" s="14" t="inlineStr">
        <is>
          <t>Command and Control</t>
        </is>
      </c>
      <c r="B234" s="14" t="inlineStr">
        <is>
          <t>T1572</t>
        </is>
      </c>
      <c r="C234" s="14" t="inlineStr">
        <is>
          <t>Protocol Tunneling</t>
        </is>
      </c>
      <c r="D234" s="14">
        <f>COUNTIFS(Entries!$A$2:$A$741,A234,Entries!$B$2:$B$741,B234)</f>
        <v/>
      </c>
      <c r="E234" s="14">
        <f>COUNTIFS(Entries!$A$2:$A$741,A234,Entries!$B$2:$B$741,B234,Entries!$F$2:$F$741,"Full")</f>
        <v/>
      </c>
      <c r="F234" s="14">
        <f>COUNTIFS(Entries!$A$2:$A$741,A234,Entries!$B$2:$B$741,B234,Entries!$F$2:$F$741,"Partial")</f>
        <v/>
      </c>
      <c r="G234" s="14">
        <f>COUNTIFS(Entries!$A$2:$A$741,A234,Entries!$B$2:$B$741,B234,Entries!$F$2:$F$741,"No")</f>
        <v/>
      </c>
      <c r="H234" s="14">
        <f>IF(D234=0,"Not graded",IF(E234&gt;0,"Full",IF(F234&gt;0,"Partial","No")))</f>
        <v/>
      </c>
    </row>
    <row r="235" ht="15" customHeight="1" s="7">
      <c r="A235" s="14" t="inlineStr">
        <is>
          <t>Command and Control</t>
        </is>
      </c>
      <c r="B235" s="14" t="inlineStr">
        <is>
          <t>T1573</t>
        </is>
      </c>
      <c r="C235" s="14" t="inlineStr">
        <is>
          <t>Encrypted Channel</t>
        </is>
      </c>
      <c r="D235" s="14">
        <f>COUNTIFS(Entries!$A$2:$A$741,A235,Entries!$B$2:$B$741,B235)</f>
        <v/>
      </c>
      <c r="E235" s="14">
        <f>COUNTIFS(Entries!$A$2:$A$741,A235,Entries!$B$2:$B$741,B235,Entries!$F$2:$F$741,"Full")</f>
        <v/>
      </c>
      <c r="F235" s="14">
        <f>COUNTIFS(Entries!$A$2:$A$741,A235,Entries!$B$2:$B$741,B235,Entries!$F$2:$F$741,"Partial")</f>
        <v/>
      </c>
      <c r="G235" s="14">
        <f>COUNTIFS(Entries!$A$2:$A$741,A235,Entries!$B$2:$B$741,B235,Entries!$F$2:$F$741,"No")</f>
        <v/>
      </c>
      <c r="H235" s="14">
        <f>IF(D235=0,"Not graded",IF(E235&gt;0,"Full",IF(F235&gt;0,"Partial","No")))</f>
        <v/>
      </c>
    </row>
    <row r="236" ht="15" customHeight="1" s="7">
      <c r="A236" s="14" t="inlineStr">
        <is>
          <t>Command and Control</t>
        </is>
      </c>
      <c r="B236" s="14" t="inlineStr">
        <is>
          <t>T1659</t>
        </is>
      </c>
      <c r="C236" s="14" t="inlineStr">
        <is>
          <t>Content Injection</t>
        </is>
      </c>
      <c r="D236" s="14">
        <f>COUNTIFS(Entries!$A$2:$A$741,A236,Entries!$B$2:$B$741,B236)</f>
        <v/>
      </c>
      <c r="E236" s="14">
        <f>COUNTIFS(Entries!$A$2:$A$741,A236,Entries!$B$2:$B$741,B236,Entries!$F$2:$F$741,"Full")</f>
        <v/>
      </c>
      <c r="F236" s="14">
        <f>COUNTIFS(Entries!$A$2:$A$741,A236,Entries!$B$2:$B$741,B236,Entries!$F$2:$F$741,"Partial")</f>
        <v/>
      </c>
      <c r="G236" s="14">
        <f>COUNTIFS(Entries!$A$2:$A$741,A236,Entries!$B$2:$B$741,B236,Entries!$F$2:$F$741,"No")</f>
        <v/>
      </c>
      <c r="H236" s="14">
        <f>IF(D236=0,"Not graded",IF(E236&gt;0,"Full",IF(F236&gt;0,"Partial","No")))</f>
        <v/>
      </c>
    </row>
    <row r="237" ht="15" customHeight="1" s="7">
      <c r="A237" s="14" t="inlineStr">
        <is>
          <t>Command and Control</t>
        </is>
      </c>
      <c r="B237" s="14" t="inlineStr">
        <is>
          <t>T1665</t>
        </is>
      </c>
      <c r="C237" s="14" t="inlineStr">
        <is>
          <t>Hide Infrastructure</t>
        </is>
      </c>
      <c r="D237" s="14">
        <f>COUNTIFS(Entries!$A$2:$A$741,A237,Entries!$B$2:$B$741,B237)</f>
        <v/>
      </c>
      <c r="E237" s="14">
        <f>COUNTIFS(Entries!$A$2:$A$741,A237,Entries!$B$2:$B$741,B237,Entries!$F$2:$F$741,"Full")</f>
        <v/>
      </c>
      <c r="F237" s="14">
        <f>COUNTIFS(Entries!$A$2:$A$741,A237,Entries!$B$2:$B$741,B237,Entries!$F$2:$F$741,"Partial")</f>
        <v/>
      </c>
      <c r="G237" s="14">
        <f>COUNTIFS(Entries!$A$2:$A$741,A237,Entries!$B$2:$B$741,B237,Entries!$F$2:$F$741,"No")</f>
        <v/>
      </c>
      <c r="H237" s="14">
        <f>IF(D237=0,"Not graded",IF(E237&gt;0,"Full",IF(F237&gt;0,"Partial","No")))</f>
        <v/>
      </c>
    </row>
    <row r="238" ht="15" customHeight="1" s="7">
      <c r="A238" s="14" t="inlineStr">
        <is>
          <t>Exfiltration</t>
        </is>
      </c>
      <c r="B238" s="14" t="inlineStr">
        <is>
          <t>T1011</t>
        </is>
      </c>
      <c r="C238" s="14" t="inlineStr">
        <is>
          <t>Exfiltration Over Other Network Medium</t>
        </is>
      </c>
      <c r="D238" s="14">
        <f>COUNTIFS(Entries!$A$2:$A$741,A238,Entries!$B$2:$B$741,B238)</f>
        <v/>
      </c>
      <c r="E238" s="14">
        <f>COUNTIFS(Entries!$A$2:$A$741,A238,Entries!$B$2:$B$741,B238,Entries!$F$2:$F$741,"Full")</f>
        <v/>
      </c>
      <c r="F238" s="14">
        <f>COUNTIFS(Entries!$A$2:$A$741,A238,Entries!$B$2:$B$741,B238,Entries!$F$2:$F$741,"Partial")</f>
        <v/>
      </c>
      <c r="G238" s="14">
        <f>COUNTIFS(Entries!$A$2:$A$741,A238,Entries!$B$2:$B$741,B238,Entries!$F$2:$F$741,"No")</f>
        <v/>
      </c>
      <c r="H238" s="14">
        <f>IF(D238=0,"Not graded",IF(E238&gt;0,"Full",IF(F238&gt;0,"Partial","No")))</f>
        <v/>
      </c>
    </row>
    <row r="239" ht="15" customHeight="1" s="7">
      <c r="A239" s="14" t="inlineStr">
        <is>
          <t>Exfiltration</t>
        </is>
      </c>
      <c r="B239" s="14" t="inlineStr">
        <is>
          <t>T1020</t>
        </is>
      </c>
      <c r="C239" s="14" t="inlineStr">
        <is>
          <t>Automated Exfiltration</t>
        </is>
      </c>
      <c r="D239" s="14">
        <f>COUNTIFS(Entries!$A$2:$A$741,A239,Entries!$B$2:$B$741,B239)</f>
        <v/>
      </c>
      <c r="E239" s="14">
        <f>COUNTIFS(Entries!$A$2:$A$741,A239,Entries!$B$2:$B$741,B239,Entries!$F$2:$F$741,"Full")</f>
        <v/>
      </c>
      <c r="F239" s="14">
        <f>COUNTIFS(Entries!$A$2:$A$741,A239,Entries!$B$2:$B$741,B239,Entries!$F$2:$F$741,"Partial")</f>
        <v/>
      </c>
      <c r="G239" s="14">
        <f>COUNTIFS(Entries!$A$2:$A$741,A239,Entries!$B$2:$B$741,B239,Entries!$F$2:$F$741,"No")</f>
        <v/>
      </c>
      <c r="H239" s="14">
        <f>IF(D239=0,"Not graded",IF(E239&gt;0,"Full",IF(F239&gt;0,"Partial","No")))</f>
        <v/>
      </c>
    </row>
    <row r="240" ht="15" customHeight="1" s="7">
      <c r="A240" s="14" t="inlineStr">
        <is>
          <t>Exfiltration</t>
        </is>
      </c>
      <c r="B240" s="14" t="inlineStr">
        <is>
          <t>T1029</t>
        </is>
      </c>
      <c r="C240" s="14" t="inlineStr">
        <is>
          <t>Scheduled Transfer</t>
        </is>
      </c>
      <c r="D240" s="14">
        <f>COUNTIFS(Entries!$A$2:$A$741,A240,Entries!$B$2:$B$741,B240)</f>
        <v/>
      </c>
      <c r="E240" s="14">
        <f>COUNTIFS(Entries!$A$2:$A$741,A240,Entries!$B$2:$B$741,B240,Entries!$F$2:$F$741,"Full")</f>
        <v/>
      </c>
      <c r="F240" s="14">
        <f>COUNTIFS(Entries!$A$2:$A$741,A240,Entries!$B$2:$B$741,B240,Entries!$F$2:$F$741,"Partial")</f>
        <v/>
      </c>
      <c r="G240" s="14">
        <f>COUNTIFS(Entries!$A$2:$A$741,A240,Entries!$B$2:$B$741,B240,Entries!$F$2:$F$741,"No")</f>
        <v/>
      </c>
      <c r="H240" s="14">
        <f>IF(D240=0,"Not graded",IF(E240&gt;0,"Full",IF(F240&gt;0,"Partial","No")))</f>
        <v/>
      </c>
    </row>
    <row r="241" ht="15" customHeight="1" s="7">
      <c r="A241" s="14" t="inlineStr">
        <is>
          <t>Exfiltration</t>
        </is>
      </c>
      <c r="B241" s="14" t="inlineStr">
        <is>
          <t>T1030</t>
        </is>
      </c>
      <c r="C241" s="14" t="inlineStr">
        <is>
          <t>Data Transfer Size Limits</t>
        </is>
      </c>
      <c r="D241" s="14">
        <f>COUNTIFS(Entries!$A$2:$A$741,A241,Entries!$B$2:$B$741,B241)</f>
        <v/>
      </c>
      <c r="E241" s="14">
        <f>COUNTIFS(Entries!$A$2:$A$741,A241,Entries!$B$2:$B$741,B241,Entries!$F$2:$F$741,"Full")</f>
        <v/>
      </c>
      <c r="F241" s="14">
        <f>COUNTIFS(Entries!$A$2:$A$741,A241,Entries!$B$2:$B$741,B241,Entries!$F$2:$F$741,"Partial")</f>
        <v/>
      </c>
      <c r="G241" s="14">
        <f>COUNTIFS(Entries!$A$2:$A$741,A241,Entries!$B$2:$B$741,B241,Entries!$F$2:$F$741,"No")</f>
        <v/>
      </c>
      <c r="H241" s="14">
        <f>IF(D241=0,"Not graded",IF(E241&gt;0,"Full",IF(F241&gt;0,"Partial","No")))</f>
        <v/>
      </c>
    </row>
    <row r="242" ht="15" customHeight="1" s="7">
      <c r="A242" s="14" t="inlineStr">
        <is>
          <t>Exfiltration</t>
        </is>
      </c>
      <c r="B242" s="14" t="inlineStr">
        <is>
          <t>T1041</t>
        </is>
      </c>
      <c r="C242" s="14" t="inlineStr">
        <is>
          <t>Exfiltration Over C2 Channel</t>
        </is>
      </c>
      <c r="D242" s="14">
        <f>COUNTIFS(Entries!$A$2:$A$741,A242,Entries!$B$2:$B$741,B242)</f>
        <v/>
      </c>
      <c r="E242" s="14">
        <f>COUNTIFS(Entries!$A$2:$A$741,A242,Entries!$B$2:$B$741,B242,Entries!$F$2:$F$741,"Full")</f>
        <v/>
      </c>
      <c r="F242" s="14">
        <f>COUNTIFS(Entries!$A$2:$A$741,A242,Entries!$B$2:$B$741,B242,Entries!$F$2:$F$741,"Partial")</f>
        <v/>
      </c>
      <c r="G242" s="14">
        <f>COUNTIFS(Entries!$A$2:$A$741,A242,Entries!$B$2:$B$741,B242,Entries!$F$2:$F$741,"No")</f>
        <v/>
      </c>
      <c r="H242" s="14">
        <f>IF(D242=0,"Not graded",IF(E242&gt;0,"Full",IF(F242&gt;0,"Partial","No")))</f>
        <v/>
      </c>
    </row>
    <row r="243" ht="15" customHeight="1" s="7">
      <c r="A243" s="14" t="inlineStr">
        <is>
          <t>Exfiltration</t>
        </is>
      </c>
      <c r="B243" s="14" t="inlineStr">
        <is>
          <t>T1048</t>
        </is>
      </c>
      <c r="C243" s="14" t="inlineStr">
        <is>
          <t>Exfiltration Over Alternative Protocol</t>
        </is>
      </c>
      <c r="D243" s="14">
        <f>COUNTIFS(Entries!$A$2:$A$741,A243,Entries!$B$2:$B$741,B243)</f>
        <v/>
      </c>
      <c r="E243" s="14">
        <f>COUNTIFS(Entries!$A$2:$A$741,A243,Entries!$B$2:$B$741,B243,Entries!$F$2:$F$741,"Full")</f>
        <v/>
      </c>
      <c r="F243" s="14">
        <f>COUNTIFS(Entries!$A$2:$A$741,A243,Entries!$B$2:$B$741,B243,Entries!$F$2:$F$741,"Partial")</f>
        <v/>
      </c>
      <c r="G243" s="14">
        <f>COUNTIFS(Entries!$A$2:$A$741,A243,Entries!$B$2:$B$741,B243,Entries!$F$2:$F$741,"No")</f>
        <v/>
      </c>
      <c r="H243" s="14">
        <f>IF(D243=0,"Not graded",IF(E243&gt;0,"Full",IF(F243&gt;0,"Partial","No")))</f>
        <v/>
      </c>
    </row>
    <row r="244" ht="15" customHeight="1" s="7">
      <c r="A244" s="14" t="inlineStr">
        <is>
          <t>Exfiltration</t>
        </is>
      </c>
      <c r="B244" s="14" t="inlineStr">
        <is>
          <t>T1052</t>
        </is>
      </c>
      <c r="C244" s="14" t="inlineStr">
        <is>
          <t>Exfiltration Over Physical Medium</t>
        </is>
      </c>
      <c r="D244" s="14">
        <f>COUNTIFS(Entries!$A$2:$A$741,A244,Entries!$B$2:$B$741,B244)</f>
        <v/>
      </c>
      <c r="E244" s="14">
        <f>COUNTIFS(Entries!$A$2:$A$741,A244,Entries!$B$2:$B$741,B244,Entries!$F$2:$F$741,"Full")</f>
        <v/>
      </c>
      <c r="F244" s="14">
        <f>COUNTIFS(Entries!$A$2:$A$741,A244,Entries!$B$2:$B$741,B244,Entries!$F$2:$F$741,"Partial")</f>
        <v/>
      </c>
      <c r="G244" s="14">
        <f>COUNTIFS(Entries!$A$2:$A$741,A244,Entries!$B$2:$B$741,B244,Entries!$F$2:$F$741,"No")</f>
        <v/>
      </c>
      <c r="H244" s="14">
        <f>IF(D244=0,"Not graded",IF(E244&gt;0,"Full",IF(F244&gt;0,"Partial","No")))</f>
        <v/>
      </c>
    </row>
    <row r="245" ht="15" customHeight="1" s="7">
      <c r="A245" s="14" t="inlineStr">
        <is>
          <t>Exfiltration</t>
        </is>
      </c>
      <c r="B245" s="14" t="inlineStr">
        <is>
          <t>T1537</t>
        </is>
      </c>
      <c r="C245" s="14" t="inlineStr">
        <is>
          <t>Transfer Data to Cloud Account</t>
        </is>
      </c>
      <c r="D245" s="14">
        <f>COUNTIFS(Entries!$A$2:$A$741,A245,Entries!$B$2:$B$741,B245)</f>
        <v/>
      </c>
      <c r="E245" s="14">
        <f>COUNTIFS(Entries!$A$2:$A$741,A245,Entries!$B$2:$B$741,B245,Entries!$F$2:$F$741,"Full")</f>
        <v/>
      </c>
      <c r="F245" s="14">
        <f>COUNTIFS(Entries!$A$2:$A$741,A245,Entries!$B$2:$B$741,B245,Entries!$F$2:$F$741,"Partial")</f>
        <v/>
      </c>
      <c r="G245" s="14">
        <f>COUNTIFS(Entries!$A$2:$A$741,A245,Entries!$B$2:$B$741,B245,Entries!$F$2:$F$741,"No")</f>
        <v/>
      </c>
      <c r="H245" s="14">
        <f>IF(D245=0,"Not graded",IF(E245&gt;0,"Full",IF(F245&gt;0,"Partial","No")))</f>
        <v/>
      </c>
    </row>
    <row r="246" ht="15" customHeight="1" s="7">
      <c r="A246" s="14" t="inlineStr">
        <is>
          <t>Exfiltration</t>
        </is>
      </c>
      <c r="B246" s="14" t="inlineStr">
        <is>
          <t>T1567</t>
        </is>
      </c>
      <c r="C246" s="14" t="inlineStr">
        <is>
          <t>Exfiltration Over Web Service</t>
        </is>
      </c>
      <c r="D246" s="14">
        <f>COUNTIFS(Entries!$A$2:$A$741,A246,Entries!$B$2:$B$741,B246)</f>
        <v/>
      </c>
      <c r="E246" s="14">
        <f>COUNTIFS(Entries!$A$2:$A$741,A246,Entries!$B$2:$B$741,B246,Entries!$F$2:$F$741,"Full")</f>
        <v/>
      </c>
      <c r="F246" s="14">
        <f>COUNTIFS(Entries!$A$2:$A$741,A246,Entries!$B$2:$B$741,B246,Entries!$F$2:$F$741,"Partial")</f>
        <v/>
      </c>
      <c r="G246" s="14">
        <f>COUNTIFS(Entries!$A$2:$A$741,A246,Entries!$B$2:$B$741,B246,Entries!$F$2:$F$741,"No")</f>
        <v/>
      </c>
      <c r="H246" s="14">
        <f>IF(D246=0,"Not graded",IF(E246&gt;0,"Full",IF(F246&gt;0,"Partial","No")))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style="7" min="1" max="1"/>
    <col width="14" customWidth="1" style="7" min="2" max="2"/>
    <col width="12" customWidth="1" style="7" min="3" max="3"/>
    <col width="22" customWidth="1" style="7" min="4" max="4"/>
    <col width="12" customWidth="1" style="7" min="5" max="5"/>
    <col width="12" customWidth="1" style="7" min="6" max="6"/>
    <col width="22" customWidth="1" style="7" min="7" max="7"/>
    <col width="14" customWidth="1" style="7" min="8" max="8"/>
    <col width="70" customWidth="1" style="7" min="9" max="9"/>
  </cols>
  <sheetData>
    <row r="1">
      <c r="A1" s="12" t="inlineStr">
        <is>
          <t>Threat</t>
        </is>
      </c>
      <c r="B1" s="12" t="inlineStr">
        <is>
          <t>Final ATT&amp;CK entry (v19.2)</t>
        </is>
      </c>
      <c r="C1" s="12" t="inlineStr">
        <is>
          <t>Final correspondence</t>
        </is>
      </c>
      <c r="D1" s="12" t="inlineStr">
        <is>
          <t>Source tactic (v17 analysis)</t>
        </is>
      </c>
      <c r="E1" s="12" t="inlineStr">
        <is>
          <t>Source technique</t>
        </is>
      </c>
      <c r="F1" s="12" t="inlineStr">
        <is>
          <t>Source applicability</t>
        </is>
      </c>
      <c r="G1" s="12" t="inlineStr">
        <is>
          <t>Link</t>
        </is>
      </c>
      <c r="H1" s="12" t="inlineStr">
        <is>
          <t>Entries rows</t>
        </is>
      </c>
      <c r="I1" s="12" t="inlineStr">
        <is>
          <t>Threat-specific rationale</t>
        </is>
      </c>
    </row>
    <row r="2">
      <c r="A2" s="11" t="inlineStr">
        <is>
          <t>TDID-THR-001</t>
        </is>
      </c>
      <c r="B2" s="11" t="inlineStr">
        <is>
          <t>T1589</t>
        </is>
      </c>
      <c r="C2" s="11" t="inlineStr">
        <is>
          <t>A</t>
        </is>
      </c>
      <c r="D2" s="11" t="inlineStr">
        <is>
          <t>Reconnaissance</t>
        </is>
      </c>
      <c r="E2" s="11" t="inlineStr">
        <is>
          <t>T1589</t>
        </is>
      </c>
      <c r="F2" s="11" t="inlineStr">
        <is>
          <t>No</t>
        </is>
      </c>
      <c r="G2" s="11" t="inlineStr">
        <is>
          <t>Related source group</t>
        </is>
      </c>
      <c r="H2" s="11" t="inlineStr">
        <is>
          <t>9–11</t>
        </is>
      </c>
      <c r="I2" s="11" t="inlineStr">
        <is>
          <t>Pairwise-DID linking uses a different mechanism</t>
        </is>
      </c>
    </row>
    <row r="3">
      <c r="A3" s="11" t="inlineStr">
        <is>
          <t>TDID-THR-002</t>
        </is>
      </c>
      <c r="B3" s="11" t="inlineStr">
        <is>
          <t>T1078</t>
        </is>
      </c>
      <c r="C3" s="11" t="inlineStr">
        <is>
          <t>P</t>
        </is>
      </c>
      <c r="D3" s="11" t="inlineStr">
        <is>
          <t>Initial Access</t>
        </is>
      </c>
      <c r="E3" s="11" t="inlineStr">
        <is>
          <t>T1078</t>
        </is>
      </c>
      <c r="F3" s="11" t="inlineStr">
        <is>
          <t>Full</t>
        </is>
      </c>
      <c r="G3" s="11" t="inlineStr">
        <is>
          <t>Related source group</t>
        </is>
      </c>
      <c r="H3" s="11" t="inlineStr">
        <is>
          <t>93–96</t>
        </is>
      </c>
      <c r="I3" s="11" t="inlineStr">
        <is>
          <t>Restricted to key acceptance after a compromise signal</t>
        </is>
      </c>
    </row>
    <row r="4">
      <c r="A4" s="11" t="inlineStr">
        <is>
          <t>TDID-THR-003</t>
        </is>
      </c>
      <c r="B4" s="11" t="inlineStr">
        <is>
          <t>T1565.001</t>
        </is>
      </c>
      <c r="C4" s="11" t="inlineStr">
        <is>
          <t>E</t>
        </is>
      </c>
      <c r="D4" s="11" t="inlineStr">
        <is>
          <t>Impact</t>
        </is>
      </c>
      <c r="E4" s="11" t="inlineStr">
        <is>
          <t>T1565</t>
        </is>
      </c>
      <c r="F4" s="11" t="inlineStr">
        <is>
          <t>Full</t>
        </is>
      </c>
      <c r="G4" s="11" t="inlineStr">
        <is>
          <t>Related source group</t>
        </is>
      </c>
      <c r="H4" s="11" t="inlineStr">
        <is>
          <t>588–590</t>
        </is>
      </c>
      <c r="I4" s="11" t="inlineStr">
        <is>
          <t>Stored document changed and used after verification</t>
        </is>
      </c>
    </row>
    <row r="5">
      <c r="A5" s="11" t="inlineStr">
        <is>
          <t>TDID-THR-004</t>
        </is>
      </c>
      <c r="B5" s="11" t="inlineStr">
        <is>
          <t>T1499.003</t>
        </is>
      </c>
      <c r="C5" s="11" t="inlineStr">
        <is>
          <t>E</t>
        </is>
      </c>
      <c r="D5" s="11" t="inlineStr">
        <is>
          <t>Impact</t>
        </is>
      </c>
      <c r="E5" s="11" t="inlineStr">
        <is>
          <t>T1499</t>
        </is>
      </c>
      <c r="F5" s="11" t="inlineStr">
        <is>
          <t>Partial</t>
        </is>
      </c>
      <c r="G5" s="11" t="inlineStr">
        <is>
          <t>Related source group</t>
        </is>
      </c>
      <c r="H5" s="11" t="inlineStr">
        <is>
          <t>596–599</t>
        </is>
      </c>
      <c r="I5" s="11" t="inlineStr">
        <is>
          <t>Equivalent URLs repeatedly invoke a costly function</t>
        </is>
      </c>
    </row>
    <row r="6">
      <c r="A6" s="11" t="inlineStr">
        <is>
          <t>TDID-THR-005</t>
        </is>
      </c>
      <c r="B6" s="11" t="inlineStr">
        <is>
          <t>–</t>
        </is>
      </c>
      <c r="C6" s="11" t="inlineStr">
        <is>
          <t>None</t>
        </is>
      </c>
      <c r="D6" s="11" t="inlineStr">
        <is>
          <t>Initial Access</t>
        </is>
      </c>
      <c r="E6" s="11" t="inlineStr">
        <is>
          <t>T1190</t>
        </is>
      </c>
      <c r="F6" s="11" t="inlineStr">
        <is>
          <t>Full</t>
        </is>
      </c>
      <c r="G6" s="11" t="inlineStr">
        <is>
          <t>Candidate, not adopted</t>
        </is>
      </c>
      <c r="H6" s="11" t="inlineStr">
        <is>
          <t>79</t>
        </is>
      </c>
      <c r="I6" s="11" t="inlineStr">
        <is>
          <t>Not adopted: does not identify parameter injection</t>
        </is>
      </c>
    </row>
    <row r="7">
      <c r="A7" s="11" t="inlineStr">
        <is>
          <t>TDID-THR-006</t>
        </is>
      </c>
      <c r="B7" s="11" t="inlineStr">
        <is>
          <t>T1565</t>
        </is>
      </c>
      <c r="C7" s="11" t="inlineStr">
        <is>
          <t>E</t>
        </is>
      </c>
      <c r="D7" s="11" t="inlineStr">
        <is>
          <t>Impact</t>
        </is>
      </c>
      <c r="E7" s="11" t="inlineStr">
        <is>
          <t>T1565</t>
        </is>
      </c>
      <c r="F7" s="11" t="inlineStr">
        <is>
          <t>Full</t>
        </is>
      </c>
      <c r="G7" s="11" t="inlineStr">
        <is>
          <t>Related source group</t>
        </is>
      </c>
      <c r="H7" s="11" t="inlineStr">
        <is>
          <t>588–590</t>
        </is>
      </c>
      <c r="I7" s="11" t="inlineStr">
        <is>
          <t>External content manipulation changes processing output</t>
        </is>
      </c>
    </row>
    <row r="8">
      <c r="A8" s="11" t="inlineStr">
        <is>
          <t>TDID-THR-007</t>
        </is>
      </c>
      <c r="B8" s="11" t="inlineStr">
        <is>
          <t>T1499.004</t>
        </is>
      </c>
      <c r="C8" s="11" t="inlineStr">
        <is>
          <t>P</t>
        </is>
      </c>
      <c r="D8" s="11" t="inlineStr">
        <is>
          <t>Impact</t>
        </is>
      </c>
      <c r="E8" s="11" t="inlineStr">
        <is>
          <t>T1499</t>
        </is>
      </c>
      <c r="F8" s="11" t="inlineStr">
        <is>
          <t>Partial</t>
        </is>
      </c>
      <c r="G8" s="11" t="inlineStr">
        <is>
          <t>Related source group</t>
        </is>
      </c>
      <c r="H8" s="11" t="inlineStr">
        <is>
          <t>596–599</t>
        </is>
      </c>
      <c r="I8" s="11" t="inlineStr">
        <is>
          <t>Requires a cycle in the dereferencing graph</t>
        </is>
      </c>
    </row>
    <row r="9">
      <c r="A9" s="11" t="inlineStr">
        <is>
          <t>TDID-THR-008</t>
        </is>
      </c>
      <c r="B9" s="11" t="inlineStr">
        <is>
          <t>–</t>
        </is>
      </c>
      <c r="C9" s="11" t="inlineStr">
        <is>
          <t>None</t>
        </is>
      </c>
      <c r="D9" s="11" t="inlineStr">
        <is>
          <t>Initial Access</t>
        </is>
      </c>
      <c r="E9" s="11" t="inlineStr">
        <is>
          <t>T1190</t>
        </is>
      </c>
      <c r="F9" s="11" t="inlineStr">
        <is>
          <t>Full</t>
        </is>
      </c>
      <c r="G9" s="11" t="inlineStr">
        <is>
          <t>Candidate, not adopted</t>
        </is>
      </c>
      <c r="H9" s="11" t="inlineStr">
        <is>
          <t>79</t>
        </is>
      </c>
      <c r="I9" s="11" t="inlineStr">
        <is>
          <t>Does not identify duplicate-parameter interpretation differences</t>
        </is>
      </c>
    </row>
    <row r="10">
      <c r="A10" s="11" t="inlineStr">
        <is>
          <t>TDID-THR-009</t>
        </is>
      </c>
      <c r="B10" s="11" t="inlineStr">
        <is>
          <t>T1499.003</t>
        </is>
      </c>
      <c r="C10" s="11" t="inlineStr">
        <is>
          <t>E</t>
        </is>
      </c>
      <c r="D10" s="11" t="inlineStr">
        <is>
          <t>Impact</t>
        </is>
      </c>
      <c r="E10" s="11" t="inlineStr">
        <is>
          <t>T1499</t>
        </is>
      </c>
      <c r="F10" s="11" t="inlineStr">
        <is>
          <t>Partial</t>
        </is>
      </c>
      <c r="G10" s="11" t="inlineStr">
        <is>
          <t>Related source group</t>
        </is>
      </c>
      <c r="H10" s="11" t="inlineStr">
        <is>
          <t>596–599</t>
        </is>
      </c>
      <c r="I10" s="11" t="inlineStr">
        <is>
          <t>noCache repeatedly invokes a costly function</t>
        </is>
      </c>
    </row>
    <row r="11">
      <c r="A11" s="11" t="inlineStr">
        <is>
          <t>TDID-THR-010</t>
        </is>
      </c>
      <c r="B11" s="11" t="inlineStr">
        <is>
          <t>–</t>
        </is>
      </c>
      <c r="C11" s="11" t="inlineStr">
        <is>
          <t>None</t>
        </is>
      </c>
      <c r="D11" s="11" t="inlineStr">
        <is>
          <t>Initial Access</t>
        </is>
      </c>
      <c r="E11" s="11" t="inlineStr">
        <is>
          <t>T1190</t>
        </is>
      </c>
      <c r="F11" s="11" t="inlineStr">
        <is>
          <t>Full</t>
        </is>
      </c>
      <c r="G11" s="11" t="inlineStr">
        <is>
          <t>Candidate, not adopted</t>
        </is>
      </c>
      <c r="H11" s="11" t="inlineStr">
        <is>
          <t>79</t>
        </is>
      </c>
      <c r="I11" s="11" t="inlineStr">
        <is>
          <t>Does not identify an origin or base-path escape</t>
        </is>
      </c>
    </row>
    <row r="12">
      <c r="A12" s="11" t="inlineStr">
        <is>
          <t>TDID-THR-011</t>
        </is>
      </c>
      <c r="B12" s="11" t="inlineStr">
        <is>
          <t>T1119</t>
        </is>
      </c>
      <c r="C12" s="11" t="inlineStr">
        <is>
          <t>A</t>
        </is>
      </c>
      <c r="D12" s="11" t="inlineStr">
        <is>
          <t>Collection</t>
        </is>
      </c>
      <c r="E12" s="11" t="inlineStr">
        <is>
          <t>T1119</t>
        </is>
      </c>
      <c r="F12" s="11" t="inlineStr">
        <is>
          <t>No</t>
        </is>
      </c>
      <c r="G12" s="11" t="inlineStr">
        <is>
          <t>Related source group</t>
        </is>
      </c>
      <c r="H12" s="11" t="inlineStr">
        <is>
          <t>678</t>
        </is>
      </c>
      <c r="I12" s="11" t="inlineStr">
        <is>
          <t>Out-of-session tracking differs in collection location and authority</t>
        </is>
      </c>
    </row>
    <row r="13">
      <c r="A13" s="11" t="inlineStr">
        <is>
          <t>TDID-THR-012</t>
        </is>
      </c>
      <c r="B13" s="11" t="inlineStr">
        <is>
          <t>T1589</t>
        </is>
      </c>
      <c r="C13" s="11" t="inlineStr">
        <is>
          <t>A</t>
        </is>
      </c>
      <c r="D13" s="11" t="inlineStr">
        <is>
          <t>Reconnaissance</t>
        </is>
      </c>
      <c r="E13" s="11" t="inlineStr">
        <is>
          <t>T1589</t>
        </is>
      </c>
      <c r="F13" s="11" t="inlineStr">
        <is>
          <t>No</t>
        </is>
      </c>
      <c r="G13" s="11" t="inlineStr">
        <is>
          <t>Related source group</t>
        </is>
      </c>
      <c r="H13" s="11" t="inlineStr">
        <is>
          <t>9–11</t>
        </is>
      </c>
      <c r="I13" s="11" t="inlineStr">
        <is>
          <t>Unique status-item use permits identity inference</t>
        </is>
      </c>
    </row>
    <row r="14">
      <c r="A14" s="11" t="inlineStr">
        <is>
          <t>TDID-THR-013</t>
        </is>
      </c>
      <c r="B14" s="11" t="inlineStr">
        <is>
          <t>T1203</t>
        </is>
      </c>
      <c r="C14" s="11" t="inlineStr">
        <is>
          <t>A</t>
        </is>
      </c>
      <c r="D14" s="11" t="inlineStr">
        <is>
          <t>Execution</t>
        </is>
      </c>
      <c r="E14" s="11" t="inlineStr">
        <is>
          <t>T1203</t>
        </is>
      </c>
      <c r="F14" s="11" t="inlineStr">
        <is>
          <t>Partial</t>
        </is>
      </c>
      <c r="G14" s="11" t="inlineStr">
        <is>
          <t>Related source group</t>
        </is>
      </c>
      <c r="H14" s="11" t="inlineStr">
        <is>
          <t>114</t>
        </is>
      </c>
      <c r="I14" s="11" t="inlineStr">
        <is>
          <t>Network and navigation effects extend beyond code execution</t>
        </is>
      </c>
    </row>
    <row r="15">
      <c r="A15" s="11" t="inlineStr">
        <is>
          <t>TDID-THR-014</t>
        </is>
      </c>
      <c r="B15" s="11" t="inlineStr">
        <is>
          <t>T1589</t>
        </is>
      </c>
      <c r="C15" s="11" t="inlineStr">
        <is>
          <t>A</t>
        </is>
      </c>
      <c r="D15" s="11" t="inlineStr">
        <is>
          <t>Reconnaissance</t>
        </is>
      </c>
      <c r="E15" s="11" t="inlineStr">
        <is>
          <t>T1589</t>
        </is>
      </c>
      <c r="F15" s="11" t="inlineStr">
        <is>
          <t>No</t>
        </is>
      </c>
      <c r="G15" s="11" t="inlineStr">
        <is>
          <t>Related source group</t>
        </is>
      </c>
      <c r="H15" s="11" t="inlineStr">
        <is>
          <t>9–11</t>
        </is>
      </c>
      <c r="I15" s="11" t="inlineStr">
        <is>
          <t>Targets stable linking across presentation outputs</t>
        </is>
      </c>
    </row>
    <row r="16">
      <c r="A16" s="11" t="inlineStr">
        <is>
          <t>TDID-THR-015</t>
        </is>
      </c>
      <c r="B16" s="11" t="inlineStr">
        <is>
          <t>T1212</t>
        </is>
      </c>
      <c r="C16" s="11" t="inlineStr">
        <is>
          <t>P</t>
        </is>
      </c>
      <c r="D16" s="11" t="inlineStr">
        <is>
          <t>Credential Access</t>
        </is>
      </c>
      <c r="E16" s="11" t="inlineStr">
        <is>
          <t>T1212</t>
        </is>
      </c>
      <c r="F16" s="11" t="inlineStr">
        <is>
          <t>Partial</t>
        </is>
      </c>
      <c r="G16" s="11" t="inlineStr">
        <is>
          <t>Related source group</t>
        </is>
      </c>
      <c r="H16" s="11" t="inlineStr">
        <is>
          <t>356</t>
        </is>
      </c>
      <c r="I16" s="11" t="inlineStr">
        <is>
          <t>Restricted to key proof and policy-exceeding issuance</t>
        </is>
      </c>
    </row>
    <row r="17">
      <c r="A17" s="11" t="inlineStr">
        <is>
          <t>TDID-THR-016</t>
        </is>
      </c>
      <c r="B17" s="11" t="inlineStr">
        <is>
          <t>T1550</t>
        </is>
      </c>
      <c r="C17" s="11" t="inlineStr">
        <is>
          <t>P</t>
        </is>
      </c>
      <c r="D17" s="11" t="inlineStr">
        <is>
          <t>Defense Evasion</t>
        </is>
      </c>
      <c r="E17" s="11" t="inlineStr">
        <is>
          <t>T1550</t>
        </is>
      </c>
      <c r="F17" s="11" t="inlineStr">
        <is>
          <t>Partial</t>
        </is>
      </c>
      <c r="G17" s="11" t="inlineStr">
        <is>
          <t>Related source group</t>
        </is>
      </c>
      <c r="H17" s="11" t="inlineStr">
        <is>
          <t>571–574</t>
        </is>
      </c>
      <c r="I17" s="11" t="inlineStr">
        <is>
          <t>Split-wallet roles and credential scopes differ</t>
        </is>
      </c>
    </row>
    <row r="18">
      <c r="A18" s="11" t="inlineStr">
        <is>
          <t>TDID-THR-017</t>
        </is>
      </c>
      <c r="B18" s="11" t="inlineStr">
        <is>
          <t>T1598</t>
        </is>
      </c>
      <c r="C18" s="11" t="inlineStr">
        <is>
          <t>A</t>
        </is>
      </c>
      <c r="D18" s="11" t="inlineStr">
        <is>
          <t>Reconnaissance</t>
        </is>
      </c>
      <c r="E18" s="11" t="inlineStr">
        <is>
          <t>T1598</t>
        </is>
      </c>
      <c r="F18" s="11" t="inlineStr">
        <is>
          <t>No</t>
        </is>
      </c>
      <c r="G18" s="11" t="inlineStr">
        <is>
          <t>Related source group</t>
        </is>
      </c>
      <c r="H18" s="11" t="inlineStr">
        <is>
          <t>22–25</t>
        </is>
      </c>
      <c r="I18" s="11" t="inlineStr">
        <is>
          <t>Also requires code use at the original service</t>
        </is>
      </c>
    </row>
    <row r="19">
      <c r="A19" s="11" t="inlineStr">
        <is>
          <t>TDID-THR-018</t>
        </is>
      </c>
      <c r="B19" s="11" t="inlineStr">
        <is>
          <t>T1589</t>
        </is>
      </c>
      <c r="C19" s="11" t="inlineStr">
        <is>
          <t>P</t>
        </is>
      </c>
      <c r="D19" s="11" t="inlineStr">
        <is>
          <t>Reconnaissance</t>
        </is>
      </c>
      <c r="E19" s="11" t="inlineStr">
        <is>
          <t>T1589</t>
        </is>
      </c>
      <c r="F19" s="11" t="inlineStr">
        <is>
          <t>No</t>
        </is>
      </c>
      <c r="G19" s="11" t="inlineStr">
        <is>
          <t>Related source group</t>
        </is>
      </c>
      <c r="H19" s="11" t="inlineStr">
        <is>
          <t>9–11</t>
        </is>
      </c>
      <c r="I19" s="11" t="inlineStr">
        <is>
          <t>DCQL responses reveal identity attributes at an authentication service</t>
        </is>
      </c>
    </row>
    <row r="20">
      <c r="A20" s="11" t="inlineStr">
        <is>
          <t>TDID-THR-019</t>
        </is>
      </c>
      <c r="B20" s="11" t="inlineStr">
        <is>
          <t>T1557</t>
        </is>
      </c>
      <c r="C20" s="11" t="inlineStr">
        <is>
          <t>A</t>
        </is>
      </c>
      <c r="D20" s="11" t="inlineStr">
        <is>
          <t>Collection</t>
        </is>
      </c>
      <c r="E20" s="11" t="inlineStr">
        <is>
          <t>T1557</t>
        </is>
      </c>
      <c r="F20" s="11" t="inlineStr">
        <is>
          <t>Partial</t>
        </is>
      </c>
      <c r="G20" s="11" t="inlineStr">
        <is>
          <t>Related source group</t>
        </is>
      </c>
      <c r="H20" s="11" t="inlineStr">
        <is>
          <t>672–675</t>
        </is>
      </c>
      <c r="I20" s="11" t="inlineStr">
        <is>
          <t>Network-path control differs from app-session binding</t>
        </is>
      </c>
    </row>
    <row r="21">
      <c r="A21" s="11" t="inlineStr">
        <is>
          <t>TDID-THR-020</t>
        </is>
      </c>
      <c r="B21" s="11" t="inlineStr">
        <is>
          <t>T1078</t>
        </is>
      </c>
      <c r="C21" s="11" t="inlineStr">
        <is>
          <t>A</t>
        </is>
      </c>
      <c r="D21" s="11" t="inlineStr">
        <is>
          <t>Initial Access</t>
        </is>
      </c>
      <c r="E21" s="11" t="inlineStr">
        <is>
          <t>T1078</t>
        </is>
      </c>
      <c r="F21" s="11" t="inlineStr">
        <is>
          <t>Full</t>
        </is>
      </c>
      <c r="G21" s="11" t="inlineStr">
        <is>
          <t>Related source group</t>
        </is>
      </c>
      <c r="H21" s="11" t="inlineStr">
        <is>
          <t>93–96</t>
        </is>
      </c>
      <c r="I21" s="11" t="inlineStr">
        <is>
          <t>Existing-account takeover differs from claim collision through another issuer</t>
        </is>
      </c>
    </row>
    <row r="22">
      <c r="A22" s="11" t="inlineStr">
        <is>
          <t>TDID-THR-021</t>
        </is>
      </c>
      <c r="B22" s="11" t="inlineStr">
        <is>
          <t>T1212</t>
        </is>
      </c>
      <c r="C22" s="11" t="inlineStr">
        <is>
          <t>E</t>
        </is>
      </c>
      <c r="D22" s="11" t="inlineStr">
        <is>
          <t>Credential Access</t>
        </is>
      </c>
      <c r="E22" s="11" t="inlineStr">
        <is>
          <t>T1212</t>
        </is>
      </c>
      <c r="F22" s="11" t="inlineStr">
        <is>
          <t>Partial</t>
        </is>
      </c>
      <c r="G22" s="11" t="inlineStr">
        <is>
          <t>Related source group</t>
        </is>
      </c>
      <c r="H22" s="11" t="inlineStr">
        <is>
          <t>356</t>
        </is>
      </c>
      <c r="I22" s="11" t="inlineStr">
        <is>
          <t>Current-transaction binding failure followed by new-session acceptance</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6" min="1" max="1"/>
    <col width="44" customWidth="1" style="6" min="2" max="2"/>
    <col width="12" customWidth="1" style="6" min="3" max="3"/>
    <col width="40" customWidth="1" style="6" min="4" max="4"/>
    <col width="46" customWidth="1" style="6" min="5" max="5"/>
  </cols>
  <sheetData>
    <row r="1" ht="23.85" customHeight="1" s="7">
      <c r="A1" s="13" t="inlineStr">
        <is>
          <t>Technique ID (as listed)</t>
        </is>
      </c>
      <c r="B1" s="13" t="inlineStr">
        <is>
          <t>Sub-technique (as analyzed)</t>
        </is>
      </c>
      <c r="C1" s="13" t="inlineStr">
        <is>
          <t>v17 ID</t>
        </is>
      </c>
      <c r="D1" s="13" t="inlineStr">
        <is>
          <t>v17 name</t>
        </is>
      </c>
      <c r="E1" s="13" t="inlineStr">
        <is>
          <t>Note</t>
        </is>
      </c>
    </row>
    <row r="2" ht="15" customHeight="1" s="7">
      <c r="A2" s="16" t="inlineStr">
        <is>
          <t>T1506</t>
        </is>
      </c>
      <c r="B2" s="16" t="inlineStr">
        <is>
          <t>(technique ID for Input Capture, Credential Access)</t>
        </is>
      </c>
      <c r="C2" s="16" t="inlineStr">
        <is>
          <t>T1056</t>
        </is>
      </c>
      <c r="D2" s="16" t="inlineStr">
        <is>
          <t>Input Capture</t>
        </is>
      </c>
      <c r="E2" s="16" t="inlineStr">
        <is>
          <t>ID corrected</t>
        </is>
      </c>
    </row>
    <row r="3" ht="15" customHeight="1" s="7">
      <c r="A3" s="16" t="inlineStr">
        <is>
          <t>T1505</t>
        </is>
      </c>
      <c r="B3" s="16" t="inlineStr">
        <is>
          <t>IIS Web Server</t>
        </is>
      </c>
      <c r="C3" s="16" t="inlineStr">
        <is>
          <t>T1505.004</t>
        </is>
      </c>
      <c r="D3" s="16" t="inlineStr">
        <is>
          <t>IIS Components</t>
        </is>
      </c>
      <c r="E3" s="16" t="inlineStr">
        <is>
          <t>v17 name: IIS Components</t>
        </is>
      </c>
    </row>
    <row r="4" ht="15" customHeight="1" s="7">
      <c r="A4" s="16" t="inlineStr">
        <is>
          <t>T1505</t>
        </is>
      </c>
      <c r="B4" s="16" t="inlineStr">
        <is>
          <t>Transport Agent (Exchange)</t>
        </is>
      </c>
      <c r="C4" s="16" t="inlineStr">
        <is>
          <t>T1505.002</t>
        </is>
      </c>
      <c r="D4" s="16" t="inlineStr">
        <is>
          <t>Transport Agent</t>
        </is>
      </c>
      <c r="E4" s="16" t="n"/>
    </row>
    <row r="5" ht="15" customHeight="1" s="7">
      <c r="A5" s="16" t="inlineStr">
        <is>
          <t>T1176</t>
        </is>
      </c>
      <c r="B5" s="16" t="inlineStr">
        <is>
          <t>IDE or Editor Extensions</t>
        </is>
      </c>
      <c r="C5" s="16" t="inlineStr">
        <is>
          <t>T1176.002</t>
        </is>
      </c>
      <c r="D5" s="16" t="inlineStr">
        <is>
          <t>IDE Extensions</t>
        </is>
      </c>
      <c r="E5" s="16" t="n"/>
    </row>
    <row r="6" ht="15" customHeight="1" s="7">
      <c r="A6" s="16" t="inlineStr">
        <is>
          <t>T1037</t>
        </is>
      </c>
      <c r="B6" s="16" t="inlineStr">
        <is>
          <t>Logon Script (Mac)</t>
        </is>
      </c>
      <c r="C6" s="16" t="inlineStr">
        <is>
          <t>T1037.002</t>
        </is>
      </c>
      <c r="D6" s="16" t="inlineStr">
        <is>
          <t>Login Hook</t>
        </is>
      </c>
      <c r="E6" s="16" t="inlineStr">
        <is>
          <t>former name of Login Hook</t>
        </is>
      </c>
    </row>
    <row r="7" ht="15" customHeight="1" s="7">
      <c r="A7" s="16" t="inlineStr">
        <is>
          <t>T1543</t>
        </is>
      </c>
      <c r="B7" s="16" t="inlineStr">
        <is>
          <t>Unix Shell Configuration Modification</t>
        </is>
      </c>
      <c r="C7" s="16" t="inlineStr">
        <is>
          <t>T1546.004</t>
        </is>
      </c>
      <c r="D7" s="16" t="inlineStr">
        <is>
          <t>Unix Shell Configuration Modification</t>
        </is>
      </c>
      <c r="E7" s="16" t="inlineStr">
        <is>
          <t>v17 sub-technique of T1546</t>
        </is>
      </c>
    </row>
    <row r="8" ht="15" customHeight="1" s="7">
      <c r="A8" s="16" t="inlineStr">
        <is>
          <t>T1484</t>
        </is>
      </c>
      <c r="B8" s="16" t="inlineStr">
        <is>
          <t>Domain Trust Modification</t>
        </is>
      </c>
      <c r="C8" s="16" t="inlineStr">
        <is>
          <t>T1484.002</t>
        </is>
      </c>
      <c r="D8" s="16" t="inlineStr">
        <is>
          <t>Trust Modification</t>
        </is>
      </c>
      <c r="E8" s="16" t="n"/>
    </row>
    <row r="9" ht="15" customHeight="1" s="7">
      <c r="A9" s="16" t="inlineStr">
        <is>
          <t>T1546</t>
        </is>
      </c>
      <c r="B9" s="16" t="inlineStr">
        <is>
          <t>.bash_profile and .bashrc</t>
        </is>
      </c>
      <c r="C9" s="16" t="inlineStr">
        <is>
          <t>T1546.004</t>
        </is>
      </c>
      <c r="D9" s="16" t="inlineStr">
        <is>
          <t>Unix Shell Configuration Modification</t>
        </is>
      </c>
      <c r="E9" s="16" t="inlineStr">
        <is>
          <t>former name of Unix Shell Configuration Modification</t>
        </is>
      </c>
    </row>
    <row r="10" ht="15" customHeight="1" s="7">
      <c r="A10" s="16" t="inlineStr">
        <is>
          <t>T1546</t>
        </is>
      </c>
      <c r="B10" s="16" t="inlineStr">
        <is>
          <t>Login Item</t>
        </is>
      </c>
      <c r="C10" s="16" t="inlineStr">
        <is>
          <t>T1547.015</t>
        </is>
      </c>
      <c r="D10" s="16" t="inlineStr">
        <is>
          <t>Login Items</t>
        </is>
      </c>
      <c r="E10" s="16" t="inlineStr">
        <is>
          <t>v17 sub-technique of T1547 (Login Items)</t>
        </is>
      </c>
    </row>
    <row r="11" ht="15" customHeight="1" s="7">
      <c r="A11" s="16" t="inlineStr">
        <is>
          <t>T1574</t>
        </is>
      </c>
      <c r="B11" s="16" t="inlineStr">
        <is>
          <t>DLL Search Order Hijacking</t>
        </is>
      </c>
      <c r="C11" s="16" t="inlineStr">
        <is>
          <t>T1574.001</t>
        </is>
      </c>
      <c r="D11" s="16" t="inlineStr">
        <is>
          <t>DLL</t>
        </is>
      </c>
      <c r="E11" s="16" t="inlineStr">
        <is>
          <t>merged into T1574.001 (DLL) in v17</t>
        </is>
      </c>
    </row>
    <row r="12" ht="15" customHeight="1" s="7">
      <c r="A12" s="16" t="inlineStr">
        <is>
          <t>T1574</t>
        </is>
      </c>
      <c r="B12" s="16" t="inlineStr">
        <is>
          <t>Shortcut Modification</t>
        </is>
      </c>
      <c r="C12" s="16" t="inlineStr">
        <is>
          <t>T1547.009</t>
        </is>
      </c>
      <c r="D12" s="16" t="inlineStr">
        <is>
          <t>Shortcut Modification</t>
        </is>
      </c>
      <c r="E12" s="16" t="inlineStr">
        <is>
          <t>v17 sub-technique of T1547</t>
        </is>
      </c>
    </row>
    <row r="13" ht="15" customHeight="1" s="7">
      <c r="A13" s="16" t="inlineStr">
        <is>
          <t>T1574</t>
        </is>
      </c>
      <c r="B13" s="16" t="inlineStr">
        <is>
          <t>Active Setup</t>
        </is>
      </c>
      <c r="C13" s="16" t="inlineStr">
        <is>
          <t>T1547.014</t>
        </is>
      </c>
      <c r="D13" s="16" t="inlineStr">
        <is>
          <t>Active Setup</t>
        </is>
      </c>
      <c r="E13" s="16" t="inlineStr">
        <is>
          <t>v17 sub-technique of T1547</t>
        </is>
      </c>
    </row>
    <row r="14" ht="15" customHeight="1" s="7">
      <c r="A14" s="16" t="inlineStr">
        <is>
          <t>T1548</t>
        </is>
      </c>
      <c r="B14" s="16" t="inlineStr">
        <is>
          <t>Bypass User Access Control</t>
        </is>
      </c>
      <c r="C14" s="16" t="inlineStr">
        <is>
          <t>T1548.002</t>
        </is>
      </c>
      <c r="D14" s="16" t="inlineStr">
        <is>
          <t>Bypass User Account Control</t>
        </is>
      </c>
      <c r="E14" s="16" t="n"/>
    </row>
    <row r="15" ht="15" customHeight="1" s="7">
      <c r="A15" s="16" t="inlineStr">
        <is>
          <t>T1564</t>
        </is>
      </c>
      <c r="B15" s="16" t="inlineStr">
        <is>
          <t>Embedded Payloads</t>
        </is>
      </c>
      <c r="C15" s="16" t="inlineStr">
        <is>
          <t>T1027.009</t>
        </is>
      </c>
      <c r="D15" s="16" t="inlineStr">
        <is>
          <t>Embedded Payloads</t>
        </is>
      </c>
      <c r="E15" s="16" t="inlineStr">
        <is>
          <t>v17 sub-technique of T1027</t>
        </is>
      </c>
    </row>
    <row r="16" ht="15" customHeight="1" s="7">
      <c r="A16" s="16" t="inlineStr">
        <is>
          <t>T1564</t>
        </is>
      </c>
      <c r="B16" s="16" t="inlineStr">
        <is>
          <t>Masquerade Task or Service</t>
        </is>
      </c>
      <c r="C16" s="16" t="inlineStr">
        <is>
          <t>T1036.004</t>
        </is>
      </c>
      <c r="D16" s="16" t="inlineStr">
        <is>
          <t>Masquerade Task or Service</t>
        </is>
      </c>
      <c r="E16" s="16" t="inlineStr">
        <is>
          <t>v17 sub-technique of T1036</t>
        </is>
      </c>
    </row>
    <row r="17" ht="15" customHeight="1" s="7">
      <c r="A17" s="16" t="inlineStr">
        <is>
          <t>T1564</t>
        </is>
      </c>
      <c r="B17" s="16" t="inlineStr">
        <is>
          <t>Masquerade File Type</t>
        </is>
      </c>
      <c r="C17" s="16" t="inlineStr">
        <is>
          <t>T1036.008</t>
        </is>
      </c>
      <c r="D17" s="16" t="inlineStr">
        <is>
          <t>Masquerade File Type</t>
        </is>
      </c>
      <c r="E17" s="16" t="inlineStr">
        <is>
          <t>v17 sub-technique of T1036</t>
        </is>
      </c>
    </row>
    <row r="18" ht="15" customHeight="1" s="7">
      <c r="A18" s="16" t="inlineStr">
        <is>
          <t>T1562</t>
        </is>
      </c>
      <c r="B18" s="16" t="inlineStr">
        <is>
          <t>Impair Command History Loggin</t>
        </is>
      </c>
      <c r="C18" s="16" t="inlineStr">
        <is>
          <t>T1562.003</t>
        </is>
      </c>
      <c r="D18" s="16" t="inlineStr">
        <is>
          <t>Impair Command History Logging</t>
        </is>
      </c>
      <c r="E18" s="16" t="n"/>
    </row>
    <row r="19" ht="15" customHeight="1" s="7">
      <c r="A19" s="16" t="inlineStr">
        <is>
          <t>T1562</t>
        </is>
      </c>
      <c r="B19" s="16" t="inlineStr">
        <is>
          <t>Disalbe or Modify Linux Audit System</t>
        </is>
      </c>
      <c r="C19" s="16" t="inlineStr">
        <is>
          <t>T1562.012</t>
        </is>
      </c>
      <c r="D19" s="16" t="inlineStr">
        <is>
          <t>Disable or Modify Linux Audit System</t>
        </is>
      </c>
      <c r="E19" s="16" t="n"/>
    </row>
    <row r="20" ht="15" customHeight="1" s="7">
      <c r="A20" s="16" t="inlineStr">
        <is>
          <t>T1556</t>
        </is>
      </c>
      <c r="B20" s="16" t="inlineStr">
        <is>
          <t>Security Support Provider</t>
        </is>
      </c>
      <c r="C20" s="16" t="inlineStr">
        <is>
          <t>T1547.005</t>
        </is>
      </c>
      <c r="D20" s="16" t="inlineStr">
        <is>
          <t>Security Support Provider</t>
        </is>
      </c>
      <c r="E20" s="16" t="inlineStr">
        <is>
          <t>v17 sub-technique of T1547</t>
        </is>
      </c>
    </row>
    <row r="21" ht="15" customHeight="1" s="7">
      <c r="A21" s="16" t="inlineStr">
        <is>
          <t>T1599</t>
        </is>
      </c>
      <c r="B21" s="16" t="inlineStr">
        <is>
          <t>Network Address Translation (NAT) Traversal</t>
        </is>
      </c>
      <c r="C21" s="16" t="inlineStr">
        <is>
          <t>T1599.001</t>
        </is>
      </c>
      <c r="D21" s="16" t="inlineStr">
        <is>
          <t>Network Address Translation Traversal</t>
        </is>
      </c>
      <c r="E21" s="16" t="n"/>
    </row>
    <row r="22" ht="15" customHeight="1" s="7">
      <c r="A22" s="16" t="inlineStr">
        <is>
          <t>T1027</t>
        </is>
      </c>
      <c r="B22" s="16" t="inlineStr">
        <is>
          <t>Dynamix API Resolution</t>
        </is>
      </c>
      <c r="C22" s="16" t="inlineStr">
        <is>
          <t>T1027.007</t>
        </is>
      </c>
      <c r="D22" s="16" t="inlineStr">
        <is>
          <t>Dynamic API Resolution</t>
        </is>
      </c>
      <c r="E22" s="16" t="n"/>
    </row>
    <row r="23" ht="15" customHeight="1" s="7">
      <c r="A23" s="16" t="inlineStr">
        <is>
          <t>T1542</t>
        </is>
      </c>
      <c r="B23" s="16" t="inlineStr">
        <is>
          <t>ROMMON</t>
        </is>
      </c>
      <c r="C23" s="16" t="inlineStr">
        <is>
          <t>T1542.004</t>
        </is>
      </c>
      <c r="D23" s="16" t="inlineStr">
        <is>
          <t>ROMMONkit</t>
        </is>
      </c>
      <c r="E23" s="16" t="n"/>
    </row>
    <row r="24" ht="15" customHeight="1" s="7">
      <c r="A24" s="16" t="inlineStr">
        <is>
          <t>T1055</t>
        </is>
      </c>
      <c r="B24" s="16" t="inlineStr">
        <is>
          <t>Extrac Window Memory Injection</t>
        </is>
      </c>
      <c r="C24" s="16" t="inlineStr">
        <is>
          <t>T1055.011</t>
        </is>
      </c>
      <c r="D24" s="16" t="inlineStr">
        <is>
          <t>Extra Window Memory Injection</t>
        </is>
      </c>
      <c r="E24" s="16" t="n"/>
    </row>
    <row r="25" ht="15" customHeight="1" s="7">
      <c r="A25" s="16" t="inlineStr">
        <is>
          <t>T1055</t>
        </is>
      </c>
      <c r="B25" s="16" t="inlineStr">
        <is>
          <t>Process Doppelganging</t>
        </is>
      </c>
      <c r="C25" s="16" t="inlineStr">
        <is>
          <t>T1055.013</t>
        </is>
      </c>
      <c r="D25" s="16" t="inlineStr">
        <is>
          <t>Process Doppelgänging</t>
        </is>
      </c>
      <c r="E25" s="16" t="n"/>
    </row>
    <row r="26" ht="15" customHeight="1" s="7">
      <c r="A26" s="16" t="inlineStr">
        <is>
          <t>T1218</t>
        </is>
      </c>
      <c r="B26" s="16" t="inlineStr">
        <is>
          <t>InstallUtill</t>
        </is>
      </c>
      <c r="C26" s="16" t="inlineStr">
        <is>
          <t>T1218.004</t>
        </is>
      </c>
      <c r="D26" s="16" t="inlineStr">
        <is>
          <t>InstallUtil</t>
        </is>
      </c>
      <c r="E26" s="16" t="n"/>
    </row>
    <row r="27" ht="23.85" customHeight="1" s="7">
      <c r="A27" s="16" t="inlineStr">
        <is>
          <t>T1048</t>
        </is>
      </c>
      <c r="B27" s="16" t="inlineStr">
        <is>
          <t>Exfiltration Over Unencrypted/Obfuscated Non-C2 Protocol</t>
        </is>
      </c>
      <c r="C27" s="16" t="inlineStr">
        <is>
          <t>T1048.003</t>
        </is>
      </c>
      <c r="D27" s="16" t="inlineStr">
        <is>
          <t>Exfiltration Over Unencrypted Non-C2 Protocol</t>
        </is>
      </c>
      <c r="E27"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6" min="1" max="1"/>
    <col width="12" customWidth="1" style="6" min="2" max="2"/>
    <col width="30" customWidth="1" style="6" min="3" max="3"/>
    <col width="14" customWidth="1" style="6" min="4" max="4"/>
    <col width="90" customWidth="1" style="6" min="5" max="5"/>
  </cols>
  <sheetData>
    <row r="1" ht="23.85" customHeight="1" s="7">
      <c r="A1" s="13" t="inlineStr">
        <is>
          <t>Tactic</t>
        </is>
      </c>
      <c r="B1" s="13" t="inlineStr">
        <is>
          <t>Technique ID</t>
        </is>
      </c>
      <c r="C1" s="13" t="inlineStr">
        <is>
          <t>Sub-technique (as analyzed)</t>
        </is>
      </c>
      <c r="D1" s="13" t="inlineStr">
        <is>
          <t>Recorded grade</t>
        </is>
      </c>
      <c r="E1" s="13" t="inlineStr">
        <is>
          <t>Observation</t>
        </is>
      </c>
    </row>
    <row r="2" ht="35.05" customHeight="1" s="7">
      <c r="A2" s="9" t="inlineStr">
        <is>
          <t>Execution</t>
        </is>
      </c>
      <c r="B2" s="9" t="inlineStr">
        <is>
          <t>T1675</t>
        </is>
      </c>
      <c r="C2" s="9" t="inlineStr">
        <is>
          <t>-</t>
        </is>
      </c>
      <c r="D2" s="9" t="inlineStr">
        <is>
          <t>No</t>
        </is>
      </c>
      <c r="E2" s="9" t="inlineStr">
        <is>
          <t>The basis describes conditional applicability with concrete DID/VC impacts (compromise of issuer and status VMs via ESXi commands), the same premise-based reasoning that T1609 uses to justify Partial, yet the grade is No.</t>
        </is>
      </c>
    </row>
    <row r="3" ht="35.05" customHeight="1" s="7">
      <c r="A3" s="9" t="inlineStr">
        <is>
          <t>Credential Access</t>
        </is>
      </c>
      <c r="B3" s="9" t="inlineStr">
        <is>
          <t>T1110</t>
        </is>
      </c>
      <c r="C3" s="9" t="inlineStr">
        <is>
          <t>Credential Stuffing</t>
        </is>
      </c>
      <c r="D3" s="9" t="inlineStr">
        <is>
          <t>Partial</t>
        </is>
      </c>
      <c r="E3" s="9" t="inlineStr">
        <is>
          <t>The rationale gives only reasons why the technique does not apply (password-based premise versus public-key signatures) and is identical to the rationales of the No-graded Brute Force sub-techniques, which contradicts the Partial grade.</t>
        </is>
      </c>
    </row>
    <row r="4" ht="23.85" customHeight="1" s="7">
      <c r="A4" s="9" t="inlineStr">
        <is>
          <t>Defense Evasion</t>
        </is>
      </c>
      <c r="B4" s="9" t="inlineStr">
        <is>
          <t>T1578</t>
        </is>
      </c>
      <c r="C4" s="9" t="inlineStr">
        <is>
          <t>Create Cloud Instance</t>
        </is>
      </c>
      <c r="D4" s="9" t="inlineStr">
        <is>
          <t>Partial</t>
        </is>
      </c>
      <c r="E4" s="9" t="inlineStr">
        <is>
          <t>The basis states the technique fully matches T1578 structurally, which corresponds to Full rather than the assigned Partial grade.</t>
        </is>
      </c>
    </row>
    <row r="5" ht="23.85" customHeight="1" s="7">
      <c r="A5" s="9" t="inlineStr">
        <is>
          <t>Defense Evasion</t>
        </is>
      </c>
      <c r="B5" s="9" t="inlineStr">
        <is>
          <t>T1578</t>
        </is>
      </c>
      <c r="C5" s="9" t="inlineStr">
        <is>
          <t>Delete Cloud Instance</t>
        </is>
      </c>
      <c r="D5" s="9" t="inlineStr">
        <is>
          <t>Partial</t>
        </is>
      </c>
      <c r="E5" s="9" t="inlineStr">
        <is>
          <t>The basis states the technique fully matches T1578 structurally, which corresponds to Full rather than the assigned Partial grade.</t>
        </is>
      </c>
    </row>
    <row r="6" ht="23.85" customHeight="1" s="7">
      <c r="A6" s="9" t="inlineStr">
        <is>
          <t>Defense Evasion</t>
        </is>
      </c>
      <c r="B6" s="9" t="inlineStr">
        <is>
          <t>T1578</t>
        </is>
      </c>
      <c r="C6" s="9" t="inlineStr">
        <is>
          <t>Modify Cloud Instance</t>
        </is>
      </c>
      <c r="D6" s="9" t="inlineStr">
        <is>
          <t>Partial</t>
        </is>
      </c>
      <c r="E6" s="9" t="inlineStr">
        <is>
          <t>The basis states the technique fully matches T1578 structurally, which corresponds to Full rather than the assigned Partial grade.</t>
        </is>
      </c>
    </row>
    <row r="7" ht="23.85" customHeight="1" s="7">
      <c r="A7" s="9" t="inlineStr">
        <is>
          <t>Defense Evasion</t>
        </is>
      </c>
      <c r="B7" s="9" t="inlineStr">
        <is>
          <t>T1578</t>
        </is>
      </c>
      <c r="C7" s="9" t="inlineStr">
        <is>
          <t>Create Snapshot</t>
        </is>
      </c>
      <c r="D7" s="9" t="inlineStr">
        <is>
          <t>Partial</t>
        </is>
      </c>
      <c r="E7" s="9" t="inlineStr">
        <is>
          <t>The basis states the technique fully matches T1578 structurally, which corresponds to Full rather than the assigned Partial grade.</t>
        </is>
      </c>
    </row>
    <row r="8" ht="23.85" customHeight="1" s="7">
      <c r="A8" s="9" t="inlineStr">
        <is>
          <t>Defense Evasion</t>
        </is>
      </c>
      <c r="B8" s="9" t="inlineStr">
        <is>
          <t>T1578</t>
        </is>
      </c>
      <c r="C8" s="9" t="inlineStr">
        <is>
          <t>Delete Snapshot</t>
        </is>
      </c>
      <c r="D8" s="9" t="inlineStr">
        <is>
          <t>Partial</t>
        </is>
      </c>
      <c r="E8" s="9" t="inlineStr">
        <is>
          <t>The basis states the technique fully matches T1578 structurally, which corresponds to Full rather than the assigned Partial grade.</t>
        </is>
      </c>
    </row>
    <row r="9">
      <c r="A9" s="11" t="inlineStr">
        <is>
          <t>Reconnaissance</t>
        </is>
      </c>
      <c r="B9" s="11" t="inlineStr">
        <is>
          <t>T1592</t>
        </is>
      </c>
      <c r="C9" s="11" t="inlineStr">
        <is>
          <t>Hardware</t>
        </is>
      </c>
      <c r="D9" s="11" t="inlineStr">
        <is>
          <t>No</t>
        </is>
      </c>
      <c r="E9" s="11" t="inlineStr">
        <is>
          <t>The original analysis sheet records No (불일치) in the grade column and an unlabeled side annotation "Partial" (부분일치) beside the row. The recorded grade No is kept.</t>
        </is>
      </c>
    </row>
    <row r="10">
      <c r="A10" s="11" t="inlineStr">
        <is>
          <t>Reconnaissance</t>
        </is>
      </c>
      <c r="B10" s="11" t="inlineStr">
        <is>
          <t>T1590</t>
        </is>
      </c>
      <c r="C10" s="11" t="inlineStr">
        <is>
          <t>Domain Properties</t>
        </is>
      </c>
      <c r="D10" s="11" t="inlineStr">
        <is>
          <t>No</t>
        </is>
      </c>
      <c r="E10" s="11" t="inlineStr">
        <is>
          <t>The original analysis sheet records No (불일치) in the grade column and an unlabeled side annotation "Partial" (부분일치) beside the row. The recorded grade No is kept.</t>
        </is>
      </c>
    </row>
    <row r="11">
      <c r="A11" s="11" t="inlineStr">
        <is>
          <t>Reconnaissance</t>
        </is>
      </c>
      <c r="B11" s="11" t="inlineStr">
        <is>
          <t>T1591</t>
        </is>
      </c>
      <c r="C11" s="11" t="inlineStr">
        <is>
          <t>Determine Physical Locations</t>
        </is>
      </c>
      <c r="D11" s="11" t="inlineStr">
        <is>
          <t>No</t>
        </is>
      </c>
      <c r="E11" s="11" t="inlineStr">
        <is>
          <t>The original analysis sheet records No (불일치) in the grade column and an unlabeled side annotation "Partial" (부분일치) beside the row. The recorded grade No is kept.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T-DID authors</dc:creator>
  <dc:title>Preliminary applicability of MITRE ATT&amp;CK Enterprise v17 to DID/VC systems</dc:title>
  <dc:language>en-US</dc:language>
  <dcterms:created xsi:type="dcterms:W3CDTF">2026-10-28T07:06:25Z</dcterms:created>
  <dcterms:modified xsi:type="dcterms:W3CDTF">2026-10-28T09:49:48Z</dcterms:modified>
  <cp:revision>0</cp:revision>
</cp:coreProperties>
</file>